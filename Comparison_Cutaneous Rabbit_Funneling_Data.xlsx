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365-my.sharepoint.com/personal/paulremache_uma_es/Documents/De dropbox/Doctorado Málaga/Experimento piloto (preliminar) de ilusiones táctiles/Data Analysis Matlab/"/>
    </mc:Choice>
  </mc:AlternateContent>
  <xr:revisionPtr revIDLastSave="0" documentId="10_ncr:40000_{24A6EBF1-DEEF-4B1B-89B5-8784723DF3F2}" xr6:coauthVersionLast="47" xr6:coauthVersionMax="47" xr10:uidLastSave="{00000000-0000-0000-0000-000000000000}"/>
  <bookViews>
    <workbookView xWindow="28680" yWindow="-120" windowWidth="25440" windowHeight="15270"/>
  </bookViews>
  <sheets>
    <sheet name="CR" sheetId="3" r:id="rId1"/>
    <sheet name="FUN" sheetId="1" r:id="rId2"/>
    <sheet name="CR vs FU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4" i="3"/>
</calcChain>
</file>

<file path=xl/sharedStrings.xml><?xml version="1.0" encoding="utf-8"?>
<sst xmlns="http://schemas.openxmlformats.org/spreadsheetml/2006/main" count="289" uniqueCount="114">
  <si>
    <t>JND</t>
  </si>
  <si>
    <t>LOC</t>
  </si>
  <si>
    <t>Gender</t>
  </si>
  <si>
    <t>Age</t>
  </si>
  <si>
    <t>Age range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</si>
  <si>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</si>
  <si>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</si>
  <si>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</si>
  <si>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</si>
  <si>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</si>
  <si>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</si>
  <si>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</si>
  <si>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</si>
  <si>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</si>
  <si>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</si>
  <si>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</si>
  <si>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</si>
  <si>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</si>
  <si>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</si>
  <si>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</si>
  <si>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</si>
  <si>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DBA (cm)</t>
  </si>
  <si>
    <t>Sex</t>
  </si>
  <si>
    <t xml:space="preserve">Male </t>
  </si>
  <si>
    <t>Female</t>
  </si>
  <si>
    <t>Other</t>
  </si>
  <si>
    <t>Young Adults (18-35)</t>
  </si>
  <si>
    <t>Middle-aged adults (36-59)</t>
  </si>
  <si>
    <t>Imperceptible</t>
  </si>
  <si>
    <t>Almost imperceptible</t>
  </si>
  <si>
    <t>Not so clear</t>
  </si>
  <si>
    <t>Clear</t>
  </si>
  <si>
    <t>Very clear</t>
  </si>
  <si>
    <t>KEY</t>
  </si>
  <si>
    <t>Perception of the Illusion</t>
  </si>
  <si>
    <t>Perception of direction</t>
  </si>
  <si>
    <t>NOP</t>
  </si>
  <si>
    <t>Duration</t>
  </si>
  <si>
    <t>Similarity</t>
  </si>
  <si>
    <t>Age group</t>
  </si>
  <si>
    <t>Handedness</t>
  </si>
  <si>
    <t>Hearing impairment</t>
  </si>
  <si>
    <t>Motor sensory impairment</t>
  </si>
  <si>
    <t>FUN</t>
  </si>
  <si>
    <t>CR</t>
  </si>
  <si>
    <t>FUN vs CR</t>
  </si>
  <si>
    <t>LR</t>
  </si>
  <si>
    <t>RL</t>
  </si>
  <si>
    <t>Open question: overall feedback</t>
  </si>
  <si>
    <t>no</t>
  </si>
  <si>
    <t>CR-FUN se percibe como mas continuo mientras que en CR se percibe un salto repentino hacia la otra mano</t>
  </si>
  <si>
    <t>yes</t>
  </si>
  <si>
    <t>∞</t>
  </si>
  <si>
    <t>Tinitus in right ear, 35% hearing loss</t>
  </si>
  <si>
    <t>La ilusion es robusta con ambos CR-FUN y CR, no hay mas argumento.</t>
  </si>
  <si>
    <t>CR-FUN no indica una dirección. CR-FUN no se percibe que llegue a la otra mano.</t>
  </si>
  <si>
    <t>Direction</t>
  </si>
  <si>
    <t>Con CR Percibe que pasa directo a la otra mano pero sin saltos que se tranfieren entre los actuadores.</t>
  </si>
  <si>
    <t>Incorrect</t>
  </si>
  <si>
    <t>CR tiene un espacio en medio. Las principales diferencias radican en que CR-FUN se percibe con mayor número de pulsos y mayor duración.</t>
  </si>
  <si>
    <t>correct</t>
  </si>
  <si>
    <t>Percibe que CR tiene un espacio en medio. Las principales diferencias radican en que CR-FUN se percibe con mayor número de pulsos y mayor duración.</t>
  </si>
  <si>
    <t>Las principales diferencias radican en que CR-FUN se percibe con mayor número de pulsos y mayor duración.</t>
  </si>
  <si>
    <t>CR-FUN cumple toda la trayectoria. CR salta en una mano y luego en la otra, no se transporta, no hay ilusión.</t>
  </si>
  <si>
    <t>Same</t>
  </si>
  <si>
    <t>En CR casi no se siente la ilusión, porque percibe un espacio in the middle.</t>
  </si>
  <si>
    <t>FUN more</t>
  </si>
  <si>
    <t>CR va muy rápido, percibe que salta directo a la otra mano, hay espacio vacío.</t>
  </si>
  <si>
    <t>CR more</t>
  </si>
  <si>
    <t>Con CR-FUN siente los pulsos en un mismo lugar.</t>
  </si>
  <si>
    <t>En CR siente pulsos en una mano y en otra, no conectados como describe la ilusión táctil. Además la velocidad del cambio de una mano a otra es una diferencia, CR cambia más rápido</t>
  </si>
  <si>
    <t>Percibe CR-FUN como más continuo mientras que CR lo percibe con un espacio en medio como con un salto</t>
  </si>
  <si>
    <t>Percibe FUN como más continuo mientras que CR lo percibe con un espacio en medio como con un salto</t>
  </si>
  <si>
    <t>The cartilage bone of the 2 ears is worn I have hearing loss I use hearing aids</t>
  </si>
  <si>
    <t>CR-FUN es de corrido, con saltos continuos, en CR hay una pausa, hay un espacio</t>
  </si>
  <si>
    <t>tendinitis in one of the wrists</t>
  </si>
  <si>
    <t>No desea argumentar</t>
  </si>
  <si>
    <t>P17</t>
  </si>
  <si>
    <t>Nota diferencias en el numero de pulsos y el tiempo entre pulsos, Hay una pausa en CR, CR-FUN es más continuo</t>
  </si>
  <si>
    <t>P18</t>
  </si>
  <si>
    <t xml:space="preserve">CR es mas leve, percibe menos intensidad </t>
  </si>
  <si>
    <t>Male</t>
  </si>
  <si>
    <t>P19</t>
  </si>
  <si>
    <t>P20</t>
  </si>
  <si>
    <t>P21</t>
  </si>
  <si>
    <t>FUN tiene mas pulsos, fun dura mas</t>
  </si>
  <si>
    <t>P22</t>
  </si>
  <si>
    <t>Young adults (18-35)</t>
  </si>
  <si>
    <t>P23</t>
  </si>
  <si>
    <t>Middle aged adults (36-59)</t>
  </si>
  <si>
    <t>P24</t>
  </si>
  <si>
    <t>CR hay un espacio, CR de una mano a otra y FUN en las dos manos</t>
  </si>
  <si>
    <t>Left handed</t>
  </si>
  <si>
    <t>Right handed</t>
  </si>
  <si>
    <t>Mixed handed</t>
  </si>
  <si>
    <t>Completely different</t>
  </si>
  <si>
    <t>Different</t>
  </si>
  <si>
    <t>Similar</t>
  </si>
  <si>
    <t>Exactly the same</t>
  </si>
  <si>
    <t>Value</t>
  </si>
  <si>
    <t>Practice session</t>
  </si>
  <si>
    <t>TBF (ms)</t>
  </si>
  <si>
    <t>ISI (ms)</t>
  </si>
  <si>
    <t>Illusion Breaks apart (ms)</t>
  </si>
  <si>
    <t>ISI (s)</t>
  </si>
  <si>
    <t>NOP/s</t>
  </si>
  <si>
    <t>Transition from discrete to quasi-continuous motion</t>
  </si>
  <si>
    <t>LOC Practice session</t>
  </si>
  <si>
    <t>NoP</t>
  </si>
  <si>
    <t>L</t>
  </si>
  <si>
    <t>Left</t>
  </si>
  <si>
    <t>Right</t>
  </si>
  <si>
    <t>R</t>
  </si>
  <si>
    <t>Perception of the illusion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</si>
</sst>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0" fontId="0" fillId="0" borderId="11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9" xfId="0" applyBorder="1"/>
    <xf numFmtId="0" fontId="0" fillId="0" borderId="5" xfId="0" applyBorder="1"/>
    <xf numFmtId="0" fontId="0" fillId="0" borderId="10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14" xfId="0" applyFon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right"/>
    </xf>
    <xf numFmtId="0" fontId="0" fillId="0" borderId="6" xfId="0" applyFont="1" applyBorder="1" applyAlignment="1">
      <alignment horizontal="right"/>
    </xf>
    <xf numFmtId="0" fontId="0" fillId="0" borderId="15" xfId="0" applyBorder="1"/>
    <xf numFmtId="0" fontId="1" fillId="0" borderId="14" xfId="0" applyFont="1" applyBorder="1" applyAlignment="1"/>
    <xf numFmtId="0" fontId="0" fillId="0" borderId="10" xfId="0" applyNumberFormat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1" fillId="0" borderId="13" xfId="0" applyFont="1" applyBorder="1"/>
    <xf numFmtId="0" fontId="1" fillId="0" borderId="15" xfId="0" applyFont="1" applyBorder="1"/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9" xfId="0" applyBorder="1" applyAlignment="1">
      <alignment horizontal="right"/>
    </xf>
    <xf numFmtId="0" fontId="0" fillId="0" borderId="5" xfId="0" applyBorder="1" applyAlignment="1">
      <alignment horizontal="right"/>
    </xf>
    <xf numFmtId="0" fontId="1" fillId="0" borderId="9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9" xfId="0" applyNumberFormat="1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165" fontId="0" fillId="0" borderId="1" xfId="0" applyNumberFormat="1" applyBorder="1"/>
    <xf numFmtId="0" fontId="1" fillId="0" borderId="9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5" fontId="0" fillId="0" borderId="9" xfId="0" applyNumberFormat="1" applyBorder="1"/>
    <xf numFmtId="165" fontId="0" fillId="0" borderId="5" xfId="0" applyNumberFormat="1" applyBorder="1"/>
    <xf numFmtId="1" fontId="0" fillId="0" borderId="1" xfId="0" applyNumberFormat="1" applyBorder="1"/>
    <xf numFmtId="1" fontId="0" fillId="0" borderId="9" xfId="0" applyNumberFormat="1" applyBorder="1"/>
    <xf numFmtId="1" fontId="0" fillId="0" borderId="5" xfId="0" applyNumberFormat="1" applyBorder="1"/>
    <xf numFmtId="165" fontId="0" fillId="0" borderId="0" xfId="0" applyNumberFormat="1"/>
    <xf numFmtId="0" fontId="1" fillId="0" borderId="1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9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C27" sqref="C27"/>
    </sheetView>
  </sheetViews>
  <sheetFormatPr baseColWidth="10" defaultRowHeight="14.5" x14ac:dyDescent="0.35"/>
  <cols>
    <col min="1" max="1" width="23.81640625" bestFit="1" customWidth="1"/>
    <col min="2" max="2" width="5.81640625" customWidth="1"/>
    <col min="4" max="4" width="3.90625" bestFit="1" customWidth="1"/>
    <col min="5" max="5" width="1.90625" bestFit="1" customWidth="1"/>
    <col min="6" max="7" width="2.81640625" bestFit="1" customWidth="1"/>
    <col min="8" max="8" width="2.81640625" style="18" bestFit="1" customWidth="1"/>
    <col min="9" max="9" width="2.81640625" bestFit="1" customWidth="1"/>
    <col min="10" max="10" width="9.7265625" customWidth="1"/>
    <col min="11" max="11" width="6.36328125" bestFit="1" customWidth="1"/>
    <col min="12" max="12" width="7.81640625" style="18" customWidth="1"/>
    <col min="13" max="13" width="8.90625" customWidth="1"/>
    <col min="14" max="14" width="3.90625" customWidth="1"/>
    <col min="15" max="15" width="4.1796875" bestFit="1" customWidth="1"/>
    <col min="16" max="16" width="9.54296875" bestFit="1" customWidth="1"/>
  </cols>
  <sheetData>
    <row r="1" spans="1:16" ht="15" customHeight="1" thickBot="1" x14ac:dyDescent="0.4">
      <c r="A1" s="50" t="s">
        <v>33</v>
      </c>
      <c r="B1" s="51"/>
      <c r="E1" s="1" t="s">
        <v>1</v>
      </c>
      <c r="F1" s="2"/>
      <c r="G1" s="2"/>
      <c r="H1" s="2"/>
      <c r="I1" s="3"/>
      <c r="J1" s="104" t="s">
        <v>106</v>
      </c>
      <c r="K1" s="105"/>
      <c r="L1" s="61"/>
      <c r="M1" s="87" t="s">
        <v>107</v>
      </c>
      <c r="N1" s="4" t="s">
        <v>22</v>
      </c>
      <c r="O1" s="4" t="s">
        <v>3</v>
      </c>
      <c r="P1" s="87" t="s">
        <v>39</v>
      </c>
    </row>
    <row r="2" spans="1:16" ht="15" thickBot="1" x14ac:dyDescent="0.4">
      <c r="A2" s="49" t="s">
        <v>22</v>
      </c>
      <c r="B2" s="48" t="s">
        <v>99</v>
      </c>
      <c r="E2" s="57" t="s">
        <v>21</v>
      </c>
      <c r="F2" s="58"/>
      <c r="G2" s="58"/>
      <c r="H2" s="58"/>
      <c r="I2" s="59"/>
      <c r="J2" s="74"/>
      <c r="K2" s="106"/>
      <c r="L2" s="75"/>
      <c r="M2" s="88"/>
      <c r="N2" s="78"/>
      <c r="O2" s="78"/>
      <c r="P2" s="88"/>
    </row>
    <row r="3" spans="1:16" ht="15" thickBot="1" x14ac:dyDescent="0.4">
      <c r="A3" s="66" t="s">
        <v>23</v>
      </c>
      <c r="B3" s="31">
        <v>0</v>
      </c>
      <c r="D3" s="19"/>
      <c r="E3" s="64">
        <v>5</v>
      </c>
      <c r="F3" s="68">
        <v>24</v>
      </c>
      <c r="G3" s="68">
        <v>43</v>
      </c>
      <c r="H3" s="68">
        <v>62</v>
      </c>
      <c r="I3" s="65">
        <v>81</v>
      </c>
      <c r="J3" s="96" t="s">
        <v>104</v>
      </c>
      <c r="K3" s="97" t="s">
        <v>105</v>
      </c>
      <c r="L3" s="97" t="s">
        <v>1</v>
      </c>
      <c r="M3" s="89"/>
      <c r="N3" s="9"/>
      <c r="O3" s="9"/>
      <c r="P3" s="89"/>
    </row>
    <row r="4" spans="1:16" x14ac:dyDescent="0.35">
      <c r="A4" s="66" t="s">
        <v>24</v>
      </c>
      <c r="B4" s="12">
        <v>1</v>
      </c>
      <c r="D4" s="90" t="s">
        <v>5</v>
      </c>
      <c r="E4" s="11">
        <v>4</v>
      </c>
      <c r="F4" s="22">
        <v>4</v>
      </c>
      <c r="G4" s="22">
        <v>4</v>
      </c>
      <c r="H4" s="22">
        <v>4</v>
      </c>
      <c r="I4" s="22">
        <v>3</v>
      </c>
      <c r="J4" s="91">
        <v>5.0999999999999997E-2</v>
      </c>
      <c r="K4" s="100">
        <f>2/(J4+0.004)</f>
        <v>36.363636363636367</v>
      </c>
      <c r="L4" s="37">
        <v>4</v>
      </c>
      <c r="M4" s="13">
        <v>4</v>
      </c>
      <c r="N4" s="13">
        <v>1</v>
      </c>
      <c r="O4" s="13">
        <v>27</v>
      </c>
      <c r="P4" s="107">
        <v>0</v>
      </c>
    </row>
    <row r="5" spans="1:16" ht="15" thickBot="1" x14ac:dyDescent="0.4">
      <c r="A5" s="67" t="s">
        <v>25</v>
      </c>
      <c r="B5" s="16"/>
      <c r="D5" s="92" t="s">
        <v>6</v>
      </c>
      <c r="E5" s="11">
        <v>4</v>
      </c>
      <c r="F5">
        <v>4</v>
      </c>
      <c r="G5">
        <v>4</v>
      </c>
      <c r="H5">
        <v>4</v>
      </c>
      <c r="I5" s="22">
        <v>4</v>
      </c>
      <c r="J5" s="98">
        <v>4.3999999999999997E-2</v>
      </c>
      <c r="K5" s="101">
        <f t="shared" ref="K5:K19" si="0">2/(J5+0.004)</f>
        <v>41.666666666666664</v>
      </c>
      <c r="L5" s="35">
        <v>3</v>
      </c>
      <c r="M5" s="13">
        <v>4</v>
      </c>
      <c r="N5" s="13">
        <v>0</v>
      </c>
      <c r="O5" s="13">
        <v>49</v>
      </c>
      <c r="P5" s="107">
        <v>1</v>
      </c>
    </row>
    <row r="6" spans="1:16" ht="15" thickBot="1" x14ac:dyDescent="0.4">
      <c r="A6" s="49" t="s">
        <v>4</v>
      </c>
      <c r="B6" s="48" t="s">
        <v>99</v>
      </c>
      <c r="D6" s="92" t="s">
        <v>7</v>
      </c>
      <c r="E6" s="11">
        <v>4</v>
      </c>
      <c r="F6">
        <v>4</v>
      </c>
      <c r="G6">
        <v>4</v>
      </c>
      <c r="H6">
        <v>4</v>
      </c>
      <c r="I6" s="22">
        <v>4</v>
      </c>
      <c r="J6" s="98">
        <v>4.9000000000000002E-2</v>
      </c>
      <c r="K6" s="101">
        <f t="shared" si="0"/>
        <v>37.735849056603769</v>
      </c>
      <c r="L6" s="35">
        <v>2</v>
      </c>
      <c r="M6" s="13">
        <v>4</v>
      </c>
      <c r="N6" s="13">
        <v>1</v>
      </c>
      <c r="O6" s="13">
        <v>28</v>
      </c>
      <c r="P6" s="107">
        <v>0</v>
      </c>
    </row>
    <row r="7" spans="1:16" x14ac:dyDescent="0.35">
      <c r="A7" s="66" t="s">
        <v>26</v>
      </c>
      <c r="B7" s="12">
        <v>0</v>
      </c>
      <c r="D7" s="92" t="s">
        <v>8</v>
      </c>
      <c r="E7" s="11">
        <v>4</v>
      </c>
      <c r="F7">
        <v>4</v>
      </c>
      <c r="G7">
        <v>4</v>
      </c>
      <c r="H7">
        <v>3</v>
      </c>
      <c r="I7" s="22">
        <v>3</v>
      </c>
      <c r="J7" s="98">
        <v>5.6000000000000001E-2</v>
      </c>
      <c r="K7" s="101">
        <f t="shared" si="0"/>
        <v>33.333333333333336</v>
      </c>
      <c r="L7" s="35">
        <v>4</v>
      </c>
      <c r="M7" s="13">
        <v>4</v>
      </c>
      <c r="N7" s="13">
        <v>0</v>
      </c>
      <c r="O7" s="13">
        <v>33</v>
      </c>
      <c r="P7" s="107">
        <v>0</v>
      </c>
    </row>
    <row r="8" spans="1:16" ht="15" thickBot="1" x14ac:dyDescent="0.4">
      <c r="A8" s="67" t="s">
        <v>27</v>
      </c>
      <c r="B8" s="16">
        <v>1</v>
      </c>
      <c r="D8" s="92" t="s">
        <v>9</v>
      </c>
      <c r="E8" s="11">
        <v>4</v>
      </c>
      <c r="F8">
        <v>4</v>
      </c>
      <c r="G8">
        <v>4</v>
      </c>
      <c r="H8">
        <v>3</v>
      </c>
      <c r="I8" s="22">
        <v>3</v>
      </c>
      <c r="J8" s="98">
        <v>5.2999999999999999E-2</v>
      </c>
      <c r="K8" s="101">
        <f t="shared" si="0"/>
        <v>35.087719298245617</v>
      </c>
      <c r="L8" s="35">
        <v>2</v>
      </c>
      <c r="M8" s="13">
        <v>4</v>
      </c>
      <c r="N8" s="13">
        <v>1</v>
      </c>
      <c r="O8" s="13">
        <v>29</v>
      </c>
      <c r="P8" s="107">
        <v>0</v>
      </c>
    </row>
    <row r="9" spans="1:16" ht="15" thickBot="1" x14ac:dyDescent="0.4">
      <c r="A9" s="49" t="s">
        <v>1</v>
      </c>
      <c r="B9" s="48" t="s">
        <v>99</v>
      </c>
      <c r="D9" s="92" t="s">
        <v>10</v>
      </c>
      <c r="E9" s="11">
        <v>4</v>
      </c>
      <c r="F9">
        <v>4</v>
      </c>
      <c r="G9">
        <v>3</v>
      </c>
      <c r="H9">
        <v>3</v>
      </c>
      <c r="I9" s="22">
        <v>4</v>
      </c>
      <c r="J9" s="98">
        <v>5.7000000000000002E-2</v>
      </c>
      <c r="K9" s="101">
        <f t="shared" si="0"/>
        <v>32.786885245901637</v>
      </c>
      <c r="L9" s="35">
        <v>4</v>
      </c>
      <c r="M9" s="13">
        <v>4</v>
      </c>
      <c r="N9" s="13">
        <v>1</v>
      </c>
      <c r="O9" s="13">
        <v>37</v>
      </c>
      <c r="P9" s="107">
        <v>1</v>
      </c>
    </row>
    <row r="10" spans="1:16" x14ac:dyDescent="0.35">
      <c r="A10" s="66" t="s">
        <v>28</v>
      </c>
      <c r="B10" s="12">
        <v>0</v>
      </c>
      <c r="D10" s="92" t="s">
        <v>11</v>
      </c>
      <c r="E10" s="11">
        <v>4</v>
      </c>
      <c r="F10">
        <v>3</v>
      </c>
      <c r="G10">
        <v>3</v>
      </c>
      <c r="H10">
        <v>3</v>
      </c>
      <c r="I10" s="22">
        <v>4</v>
      </c>
      <c r="J10" s="98">
        <v>5.0999999999999997E-2</v>
      </c>
      <c r="K10" s="101">
        <f t="shared" si="0"/>
        <v>36.363636363636367</v>
      </c>
      <c r="L10" s="35">
        <v>3</v>
      </c>
      <c r="M10" s="13">
        <v>4</v>
      </c>
      <c r="N10" s="13">
        <v>0</v>
      </c>
      <c r="O10" s="13">
        <v>40</v>
      </c>
      <c r="P10" s="107">
        <v>1</v>
      </c>
    </row>
    <row r="11" spans="1:16" x14ac:dyDescent="0.35">
      <c r="A11" s="66" t="s">
        <v>29</v>
      </c>
      <c r="B11" s="12">
        <v>1</v>
      </c>
      <c r="D11" s="92" t="s">
        <v>12</v>
      </c>
      <c r="E11" s="11">
        <v>4</v>
      </c>
      <c r="F11">
        <v>4</v>
      </c>
      <c r="G11">
        <v>4</v>
      </c>
      <c r="H11">
        <v>4</v>
      </c>
      <c r="I11" s="22">
        <v>4</v>
      </c>
      <c r="J11" s="98">
        <v>6.4000000000000001E-2</v>
      </c>
      <c r="K11" s="101">
        <f t="shared" si="0"/>
        <v>29.411764705882351</v>
      </c>
      <c r="L11" s="35">
        <v>4</v>
      </c>
      <c r="M11" s="13">
        <v>4</v>
      </c>
      <c r="N11" s="13">
        <v>0</v>
      </c>
      <c r="O11" s="13">
        <v>57</v>
      </c>
      <c r="P11" s="107">
        <v>1</v>
      </c>
    </row>
    <row r="12" spans="1:16" x14ac:dyDescent="0.35">
      <c r="A12" s="66" t="s">
        <v>30</v>
      </c>
      <c r="B12" s="12">
        <v>2</v>
      </c>
      <c r="D12" s="92" t="s">
        <v>13</v>
      </c>
      <c r="E12" s="11">
        <v>4</v>
      </c>
      <c r="F12">
        <v>4</v>
      </c>
      <c r="G12">
        <v>4</v>
      </c>
      <c r="H12">
        <v>4</v>
      </c>
      <c r="I12" s="22">
        <v>4</v>
      </c>
      <c r="J12" s="98">
        <v>0.05</v>
      </c>
      <c r="K12" s="101">
        <f t="shared" si="0"/>
        <v>37.037037037037031</v>
      </c>
      <c r="L12" s="35">
        <v>3</v>
      </c>
      <c r="M12" s="13">
        <v>4</v>
      </c>
      <c r="N12" s="13">
        <v>0</v>
      </c>
      <c r="O12" s="13">
        <v>54</v>
      </c>
      <c r="P12" s="107">
        <v>1</v>
      </c>
    </row>
    <row r="13" spans="1:16" x14ac:dyDescent="0.35">
      <c r="A13" s="66" t="s">
        <v>31</v>
      </c>
      <c r="B13" s="12">
        <v>3</v>
      </c>
      <c r="D13" s="92" t="s">
        <v>14</v>
      </c>
      <c r="E13" s="11">
        <v>4</v>
      </c>
      <c r="F13">
        <v>4</v>
      </c>
      <c r="G13">
        <v>4</v>
      </c>
      <c r="H13">
        <v>4</v>
      </c>
      <c r="I13" s="22">
        <v>4</v>
      </c>
      <c r="J13" s="98">
        <v>6.2E-2</v>
      </c>
      <c r="K13" s="101">
        <f t="shared" si="0"/>
        <v>30.303030303030301</v>
      </c>
      <c r="L13" s="35">
        <v>4</v>
      </c>
      <c r="M13" s="13">
        <v>4</v>
      </c>
      <c r="N13" s="13">
        <v>1</v>
      </c>
      <c r="O13" s="13">
        <v>53</v>
      </c>
      <c r="P13" s="107">
        <v>1</v>
      </c>
    </row>
    <row r="14" spans="1:16" ht="15" thickBot="1" x14ac:dyDescent="0.4">
      <c r="A14" s="67" t="s">
        <v>32</v>
      </c>
      <c r="B14" s="16">
        <v>4</v>
      </c>
      <c r="D14" s="92" t="s">
        <v>15</v>
      </c>
      <c r="E14" s="11">
        <v>4</v>
      </c>
      <c r="F14">
        <v>4</v>
      </c>
      <c r="G14">
        <v>3</v>
      </c>
      <c r="H14">
        <v>4</v>
      </c>
      <c r="I14" s="22">
        <v>3</v>
      </c>
      <c r="J14" s="98">
        <v>5.4000000000000006E-2</v>
      </c>
      <c r="K14" s="101">
        <f t="shared" si="0"/>
        <v>34.482758620689651</v>
      </c>
      <c r="L14" s="35">
        <v>4</v>
      </c>
      <c r="M14" s="13">
        <v>3</v>
      </c>
      <c r="N14" s="13">
        <v>1</v>
      </c>
      <c r="O14" s="13">
        <v>50</v>
      </c>
      <c r="P14" s="107">
        <v>1</v>
      </c>
    </row>
    <row r="15" spans="1:16" x14ac:dyDescent="0.35">
      <c r="D15" s="92" t="s">
        <v>16</v>
      </c>
      <c r="E15" s="11">
        <v>3</v>
      </c>
      <c r="F15">
        <v>3</v>
      </c>
      <c r="G15">
        <v>2</v>
      </c>
      <c r="H15">
        <v>2</v>
      </c>
      <c r="I15" s="22">
        <v>2</v>
      </c>
      <c r="J15" s="98">
        <v>5.6000000000000001E-2</v>
      </c>
      <c r="K15" s="101">
        <f t="shared" si="0"/>
        <v>33.333333333333336</v>
      </c>
      <c r="L15" s="35">
        <v>4</v>
      </c>
      <c r="M15" s="13">
        <v>3</v>
      </c>
      <c r="N15" s="13">
        <v>1</v>
      </c>
      <c r="O15" s="13">
        <v>28</v>
      </c>
      <c r="P15" s="107">
        <v>0</v>
      </c>
    </row>
    <row r="16" spans="1:16" x14ac:dyDescent="0.35">
      <c r="D16" s="92" t="s">
        <v>17</v>
      </c>
      <c r="E16" s="11">
        <v>4</v>
      </c>
      <c r="F16">
        <v>3</v>
      </c>
      <c r="G16">
        <v>4</v>
      </c>
      <c r="H16">
        <v>3</v>
      </c>
      <c r="I16" s="22">
        <v>3</v>
      </c>
      <c r="J16" s="98">
        <v>3.6999999999999998E-2</v>
      </c>
      <c r="K16" s="101">
        <f t="shared" si="0"/>
        <v>48.780487804878057</v>
      </c>
      <c r="L16" s="35">
        <v>3</v>
      </c>
      <c r="M16" s="13">
        <v>4</v>
      </c>
      <c r="N16" s="13">
        <v>1</v>
      </c>
      <c r="O16" s="13">
        <v>22</v>
      </c>
      <c r="P16" s="107">
        <v>0</v>
      </c>
    </row>
    <row r="17" spans="4:16" x14ac:dyDescent="0.35">
      <c r="D17" s="92" t="s">
        <v>18</v>
      </c>
      <c r="E17" s="11">
        <v>4</v>
      </c>
      <c r="F17">
        <v>3</v>
      </c>
      <c r="G17">
        <v>4</v>
      </c>
      <c r="H17">
        <v>4</v>
      </c>
      <c r="I17" s="22">
        <v>3</v>
      </c>
      <c r="J17" s="98">
        <v>4.7E-2</v>
      </c>
      <c r="K17" s="101">
        <f t="shared" si="0"/>
        <v>39.2156862745098</v>
      </c>
      <c r="L17" s="35">
        <v>3</v>
      </c>
      <c r="M17" s="13">
        <v>4</v>
      </c>
      <c r="N17" s="13">
        <v>1</v>
      </c>
      <c r="O17" s="13">
        <v>17</v>
      </c>
      <c r="P17" s="107">
        <v>0</v>
      </c>
    </row>
    <row r="18" spans="4:16" x14ac:dyDescent="0.35">
      <c r="D18" s="92" t="s">
        <v>19</v>
      </c>
      <c r="E18" s="11">
        <v>4</v>
      </c>
      <c r="F18">
        <v>4</v>
      </c>
      <c r="G18">
        <v>4</v>
      </c>
      <c r="H18">
        <v>4</v>
      </c>
      <c r="I18" s="22">
        <v>4</v>
      </c>
      <c r="J18" s="98">
        <v>4.2000000000000003E-2</v>
      </c>
      <c r="K18" s="101">
        <f t="shared" si="0"/>
        <v>43.478260869565219</v>
      </c>
      <c r="L18" s="35">
        <v>4</v>
      </c>
      <c r="M18" s="13">
        <v>4</v>
      </c>
      <c r="N18" s="13">
        <v>0</v>
      </c>
      <c r="O18" s="13">
        <v>63</v>
      </c>
      <c r="P18" s="107">
        <v>1</v>
      </c>
    </row>
    <row r="19" spans="4:16" ht="15" thickBot="1" x14ac:dyDescent="0.4">
      <c r="D19" s="93" t="s">
        <v>20</v>
      </c>
      <c r="E19" s="94">
        <v>3</v>
      </c>
      <c r="F19" s="95">
        <v>4</v>
      </c>
      <c r="G19" s="95">
        <v>4</v>
      </c>
      <c r="H19" s="95">
        <v>4</v>
      </c>
      <c r="I19" s="95">
        <v>4</v>
      </c>
      <c r="J19" s="99">
        <v>4.9000000000000002E-2</v>
      </c>
      <c r="K19" s="102">
        <f t="shared" si="0"/>
        <v>37.735849056603769</v>
      </c>
      <c r="L19" s="36">
        <v>4</v>
      </c>
      <c r="M19" s="17">
        <v>3</v>
      </c>
      <c r="N19" s="17">
        <v>1</v>
      </c>
      <c r="O19" s="17">
        <v>35</v>
      </c>
      <c r="P19" s="108">
        <v>0</v>
      </c>
    </row>
    <row r="20" spans="4:16" x14ac:dyDescent="0.35">
      <c r="J20" s="103"/>
      <c r="K20" s="10"/>
    </row>
  </sheetData>
  <mergeCells count="8">
    <mergeCell ref="M1:M3"/>
    <mergeCell ref="E2:I2"/>
    <mergeCell ref="A1:B1"/>
    <mergeCell ref="J1:L2"/>
    <mergeCell ref="N1:N3"/>
    <mergeCell ref="O1:O3"/>
    <mergeCell ref="P1:P3"/>
    <mergeCell ref="E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F29" sqref="F29"/>
    </sheetView>
  </sheetViews>
  <sheetFormatPr baseColWidth="10" defaultRowHeight="14.5" x14ac:dyDescent="0.35"/>
  <cols>
    <col min="1" max="1" width="23.81640625" bestFit="1" customWidth="1"/>
    <col min="2" max="2" width="5.81640625" bestFit="1" customWidth="1"/>
    <col min="3" max="3" width="11.453125" customWidth="1"/>
    <col min="4" max="4" width="3.90625" bestFit="1" customWidth="1"/>
    <col min="5" max="9" width="3.81640625" bestFit="1" customWidth="1"/>
    <col min="10" max="10" width="1.90625" bestFit="1" customWidth="1"/>
    <col min="11" max="11" width="2.81640625" customWidth="1"/>
    <col min="12" max="13" width="2.81640625" bestFit="1" customWidth="1"/>
    <col min="14" max="14" width="4.1796875" bestFit="1" customWidth="1"/>
    <col min="15" max="15" width="8.7265625" customWidth="1"/>
    <col min="16" max="16" width="7.36328125" bestFit="1" customWidth="1"/>
    <col min="17" max="17" width="4.1796875" bestFit="1" customWidth="1"/>
    <col min="18" max="18" width="9.36328125" bestFit="1" customWidth="1"/>
  </cols>
  <sheetData>
    <row r="1" spans="1:18" ht="15" customHeight="1" thickBot="1" x14ac:dyDescent="0.4">
      <c r="A1" s="50" t="s">
        <v>33</v>
      </c>
      <c r="B1" s="51"/>
      <c r="D1" s="21"/>
      <c r="E1" s="50" t="s">
        <v>0</v>
      </c>
      <c r="F1" s="56"/>
      <c r="G1" s="56"/>
      <c r="H1" s="56"/>
      <c r="I1" s="51"/>
      <c r="J1" s="50" t="s">
        <v>1</v>
      </c>
      <c r="K1" s="56"/>
      <c r="L1" s="56"/>
      <c r="M1" s="56"/>
      <c r="N1" s="51"/>
      <c r="O1" s="54" t="s">
        <v>107</v>
      </c>
      <c r="P1" s="23" t="s">
        <v>2</v>
      </c>
      <c r="Q1" s="23" t="s">
        <v>3</v>
      </c>
      <c r="R1" s="23" t="s">
        <v>4</v>
      </c>
    </row>
    <row r="2" spans="1:18" ht="15" thickBot="1" x14ac:dyDescent="0.4">
      <c r="A2" s="49" t="s">
        <v>22</v>
      </c>
      <c r="B2" s="48" t="s">
        <v>99</v>
      </c>
      <c r="E2" s="50" t="s">
        <v>21</v>
      </c>
      <c r="F2" s="56"/>
      <c r="G2" s="56"/>
      <c r="H2" s="56"/>
      <c r="I2" s="51"/>
      <c r="J2" s="50" t="s">
        <v>21</v>
      </c>
      <c r="K2" s="56"/>
      <c r="L2" s="56"/>
      <c r="M2" s="56"/>
      <c r="N2" s="51"/>
      <c r="O2" s="60"/>
      <c r="P2" s="62"/>
      <c r="Q2" s="62"/>
      <c r="R2" s="62"/>
    </row>
    <row r="3" spans="1:18" ht="15" thickBot="1" x14ac:dyDescent="0.4">
      <c r="A3" s="66" t="s">
        <v>23</v>
      </c>
      <c r="B3" s="31">
        <v>0</v>
      </c>
      <c r="E3" s="5">
        <v>5</v>
      </c>
      <c r="F3" s="6">
        <v>24</v>
      </c>
      <c r="G3" s="6">
        <v>43</v>
      </c>
      <c r="H3" s="6">
        <v>62</v>
      </c>
      <c r="I3" s="7">
        <v>81</v>
      </c>
      <c r="J3" s="5">
        <v>5</v>
      </c>
      <c r="K3" s="6">
        <v>24</v>
      </c>
      <c r="L3" s="6">
        <v>43</v>
      </c>
      <c r="M3" s="6">
        <v>62</v>
      </c>
      <c r="N3" s="7">
        <v>81</v>
      </c>
      <c r="O3" s="63"/>
      <c r="P3" s="24"/>
      <c r="Q3" s="24"/>
      <c r="R3" s="24"/>
    </row>
    <row r="4" spans="1:18" x14ac:dyDescent="0.35">
      <c r="A4" s="66" t="s">
        <v>24</v>
      </c>
      <c r="B4" s="12">
        <v>1</v>
      </c>
      <c r="D4" s="32" t="s">
        <v>5</v>
      </c>
      <c r="E4" s="40">
        <v>0.8</v>
      </c>
      <c r="F4" s="41">
        <v>0.79999999999999982</v>
      </c>
      <c r="G4" s="41">
        <v>1.6</v>
      </c>
      <c r="H4" s="41">
        <v>0.4</v>
      </c>
      <c r="I4" s="42">
        <v>0.4</v>
      </c>
      <c r="J4" s="40">
        <v>3</v>
      </c>
      <c r="K4" s="41">
        <v>4</v>
      </c>
      <c r="L4" s="41">
        <v>3</v>
      </c>
      <c r="M4" s="41">
        <v>4</v>
      </c>
      <c r="N4" s="42">
        <v>4</v>
      </c>
      <c r="O4" s="34">
        <v>4</v>
      </c>
      <c r="P4" s="34">
        <v>1</v>
      </c>
      <c r="Q4" s="34">
        <v>37</v>
      </c>
      <c r="R4" s="35">
        <v>1</v>
      </c>
    </row>
    <row r="5" spans="1:18" ht="15" thickBot="1" x14ac:dyDescent="0.4">
      <c r="A5" s="67" t="s">
        <v>25</v>
      </c>
      <c r="B5" s="16"/>
      <c r="D5" s="33" t="s">
        <v>6</v>
      </c>
      <c r="E5" s="43">
        <v>4.4000000000000004</v>
      </c>
      <c r="F5" s="44">
        <v>0.79999999999999982</v>
      </c>
      <c r="G5" s="44">
        <v>0.40000000000000036</v>
      </c>
      <c r="H5" s="44">
        <v>1.2</v>
      </c>
      <c r="I5" s="31">
        <v>2.8</v>
      </c>
      <c r="J5" s="43">
        <v>3</v>
      </c>
      <c r="K5" s="44">
        <v>3</v>
      </c>
      <c r="L5" s="44">
        <v>3</v>
      </c>
      <c r="M5" s="44">
        <v>3</v>
      </c>
      <c r="N5" s="31">
        <v>2</v>
      </c>
      <c r="O5" s="13">
        <v>0</v>
      </c>
      <c r="P5" s="13">
        <v>1</v>
      </c>
      <c r="Q5" s="13">
        <v>35</v>
      </c>
      <c r="R5" s="35">
        <v>0</v>
      </c>
    </row>
    <row r="6" spans="1:18" ht="15" thickBot="1" x14ac:dyDescent="0.4">
      <c r="A6" s="49" t="s">
        <v>4</v>
      </c>
      <c r="B6" s="48" t="s">
        <v>99</v>
      </c>
      <c r="D6" s="33" t="s">
        <v>7</v>
      </c>
      <c r="E6" s="43">
        <v>1</v>
      </c>
      <c r="F6" s="44">
        <v>2.6</v>
      </c>
      <c r="G6" s="44">
        <v>1.7999999999999998</v>
      </c>
      <c r="H6" s="44">
        <v>1.6</v>
      </c>
      <c r="I6" s="31">
        <v>2.6</v>
      </c>
      <c r="J6" s="43">
        <v>3</v>
      </c>
      <c r="K6" s="44">
        <v>3</v>
      </c>
      <c r="L6" s="44">
        <v>4</v>
      </c>
      <c r="M6" s="44">
        <v>2</v>
      </c>
      <c r="N6" s="31">
        <v>3</v>
      </c>
      <c r="O6" s="13">
        <v>4</v>
      </c>
      <c r="P6" s="13">
        <v>1</v>
      </c>
      <c r="Q6" s="13">
        <v>26</v>
      </c>
      <c r="R6" s="35">
        <v>0</v>
      </c>
    </row>
    <row r="7" spans="1:18" x14ac:dyDescent="0.35">
      <c r="A7" s="66" t="s">
        <v>26</v>
      </c>
      <c r="B7" s="12">
        <v>0</v>
      </c>
      <c r="D7" s="33" t="s">
        <v>8</v>
      </c>
      <c r="E7" s="43">
        <v>0.20000000000000018</v>
      </c>
      <c r="F7" s="44">
        <v>1</v>
      </c>
      <c r="G7" s="44">
        <v>0.4</v>
      </c>
      <c r="H7" s="71"/>
      <c r="I7" s="31">
        <v>0.20000000000000018</v>
      </c>
      <c r="J7" s="43">
        <v>3</v>
      </c>
      <c r="K7" s="44">
        <v>3</v>
      </c>
      <c r="L7" s="44">
        <v>4</v>
      </c>
      <c r="M7" s="44">
        <v>4</v>
      </c>
      <c r="N7" s="31">
        <v>4</v>
      </c>
      <c r="O7" s="13">
        <v>4</v>
      </c>
      <c r="P7" s="13">
        <v>1</v>
      </c>
      <c r="Q7" s="13">
        <v>34</v>
      </c>
      <c r="R7" s="35">
        <v>0</v>
      </c>
    </row>
    <row r="8" spans="1:18" ht="15" thickBot="1" x14ac:dyDescent="0.4">
      <c r="A8" s="67" t="s">
        <v>27</v>
      </c>
      <c r="B8" s="16">
        <v>1</v>
      </c>
      <c r="D8" s="33" t="s">
        <v>9</v>
      </c>
      <c r="E8" s="43">
        <v>2</v>
      </c>
      <c r="F8" s="44">
        <v>2.8</v>
      </c>
      <c r="G8" s="44">
        <v>2.4</v>
      </c>
      <c r="H8" s="44">
        <v>3.1999999999999993</v>
      </c>
      <c r="I8" s="31">
        <v>1.6</v>
      </c>
      <c r="J8" s="43">
        <v>1</v>
      </c>
      <c r="K8" s="44">
        <v>2</v>
      </c>
      <c r="L8" s="44">
        <v>3</v>
      </c>
      <c r="M8" s="44">
        <v>1</v>
      </c>
      <c r="N8" s="31">
        <v>3</v>
      </c>
      <c r="O8" s="13">
        <v>4</v>
      </c>
      <c r="P8" s="13">
        <v>1</v>
      </c>
      <c r="Q8" s="13">
        <v>46</v>
      </c>
      <c r="R8" s="35">
        <v>1</v>
      </c>
    </row>
    <row r="9" spans="1:18" ht="15" thickBot="1" x14ac:dyDescent="0.4">
      <c r="A9" s="49" t="s">
        <v>1</v>
      </c>
      <c r="B9" s="48" t="s">
        <v>99</v>
      </c>
      <c r="D9" s="33" t="s">
        <v>10</v>
      </c>
      <c r="E9" s="43">
        <v>0.59999999999999964</v>
      </c>
      <c r="F9" s="44">
        <v>0.40000000000000036</v>
      </c>
      <c r="G9" s="44">
        <v>0.40000000000000036</v>
      </c>
      <c r="H9" s="44">
        <v>0.20000000000000018</v>
      </c>
      <c r="I9" s="31">
        <v>0.20000000000000018</v>
      </c>
      <c r="J9" s="43">
        <v>4</v>
      </c>
      <c r="K9" s="44">
        <v>4</v>
      </c>
      <c r="L9" s="44">
        <v>4</v>
      </c>
      <c r="M9" s="44">
        <v>3</v>
      </c>
      <c r="N9" s="31">
        <v>4</v>
      </c>
      <c r="O9" s="13">
        <v>4</v>
      </c>
      <c r="P9" s="13">
        <v>0</v>
      </c>
      <c r="Q9" s="13">
        <v>38</v>
      </c>
      <c r="R9" s="70">
        <v>1</v>
      </c>
    </row>
    <row r="10" spans="1:18" x14ac:dyDescent="0.35">
      <c r="A10" s="66" t="s">
        <v>28</v>
      </c>
      <c r="B10" s="12">
        <v>0</v>
      </c>
      <c r="D10" s="33" t="s">
        <v>11</v>
      </c>
      <c r="E10" s="43">
        <v>2.4</v>
      </c>
      <c r="F10" s="44">
        <v>0.6</v>
      </c>
      <c r="G10" s="44">
        <v>0.79999999999999982</v>
      </c>
      <c r="H10" s="44">
        <v>0.4</v>
      </c>
      <c r="I10" s="31">
        <v>0.20000000000000018</v>
      </c>
      <c r="J10" s="43">
        <v>4</v>
      </c>
      <c r="K10" s="44">
        <v>4</v>
      </c>
      <c r="L10" s="44">
        <v>4</v>
      </c>
      <c r="M10" s="44">
        <v>4</v>
      </c>
      <c r="N10" s="31">
        <v>4</v>
      </c>
      <c r="O10" s="13">
        <v>4</v>
      </c>
      <c r="P10" s="13">
        <v>1</v>
      </c>
      <c r="Q10" s="13">
        <v>23</v>
      </c>
      <c r="R10" s="35">
        <v>0</v>
      </c>
    </row>
    <row r="11" spans="1:18" x14ac:dyDescent="0.35">
      <c r="A11" s="66" t="s">
        <v>29</v>
      </c>
      <c r="B11" s="12">
        <v>1</v>
      </c>
      <c r="D11" s="33" t="s">
        <v>12</v>
      </c>
      <c r="E11" s="43">
        <v>3.2</v>
      </c>
      <c r="F11" s="44">
        <v>2</v>
      </c>
      <c r="G11" s="44">
        <v>0.79999999999999982</v>
      </c>
      <c r="H11" s="44">
        <v>1.6</v>
      </c>
      <c r="I11" s="31">
        <v>1.4</v>
      </c>
      <c r="J11" s="43">
        <v>3</v>
      </c>
      <c r="K11" s="44">
        <v>4</v>
      </c>
      <c r="L11" s="44">
        <v>3</v>
      </c>
      <c r="M11" s="44">
        <v>4</v>
      </c>
      <c r="N11" s="31">
        <v>4</v>
      </c>
      <c r="O11" s="13">
        <v>3</v>
      </c>
      <c r="P11" s="13">
        <v>1</v>
      </c>
      <c r="Q11" s="13">
        <v>22</v>
      </c>
      <c r="R11" s="35">
        <v>0</v>
      </c>
    </row>
    <row r="12" spans="1:18" x14ac:dyDescent="0.35">
      <c r="A12" s="66" t="s">
        <v>30</v>
      </c>
      <c r="B12" s="12">
        <v>2</v>
      </c>
      <c r="D12" s="33" t="s">
        <v>13</v>
      </c>
      <c r="E12" s="43">
        <v>0.40000000000000036</v>
      </c>
      <c r="F12" s="44">
        <v>0.40000000000000036</v>
      </c>
      <c r="G12" s="44">
        <v>0.79999999999999982</v>
      </c>
      <c r="H12" s="44">
        <v>1.6</v>
      </c>
      <c r="I12" s="31">
        <v>0.59999999999999964</v>
      </c>
      <c r="J12" s="43">
        <v>2</v>
      </c>
      <c r="K12" s="44">
        <v>2</v>
      </c>
      <c r="L12" s="44">
        <v>1</v>
      </c>
      <c r="M12" s="44">
        <v>2</v>
      </c>
      <c r="N12" s="31">
        <v>2</v>
      </c>
      <c r="O12" s="13">
        <v>4</v>
      </c>
      <c r="P12" s="13">
        <v>0</v>
      </c>
      <c r="Q12" s="13">
        <v>47</v>
      </c>
      <c r="R12" s="70">
        <v>1</v>
      </c>
    </row>
    <row r="13" spans="1:18" x14ac:dyDescent="0.35">
      <c r="A13" s="66" t="s">
        <v>31</v>
      </c>
      <c r="B13" s="12">
        <v>3</v>
      </c>
      <c r="D13" s="33" t="s">
        <v>14</v>
      </c>
      <c r="E13" s="43">
        <v>1.7999999999999998</v>
      </c>
      <c r="F13" s="44">
        <v>1.8</v>
      </c>
      <c r="G13" s="44">
        <v>1.8</v>
      </c>
      <c r="H13" s="44">
        <v>0.40000000000000036</v>
      </c>
      <c r="I13" s="31">
        <v>0.20000000000000018</v>
      </c>
      <c r="J13" s="43">
        <v>2</v>
      </c>
      <c r="K13" s="44">
        <v>3</v>
      </c>
      <c r="L13" s="44">
        <v>2</v>
      </c>
      <c r="M13" s="44">
        <v>3</v>
      </c>
      <c r="N13" s="31">
        <v>3</v>
      </c>
      <c r="O13" s="13">
        <v>3</v>
      </c>
      <c r="P13" s="13">
        <v>1</v>
      </c>
      <c r="Q13" s="13">
        <v>44</v>
      </c>
      <c r="R13" s="35">
        <v>1</v>
      </c>
    </row>
    <row r="14" spans="1:18" ht="15" thickBot="1" x14ac:dyDescent="0.4">
      <c r="A14" s="67" t="s">
        <v>32</v>
      </c>
      <c r="B14" s="16">
        <v>4</v>
      </c>
      <c r="D14" s="33" t="s">
        <v>15</v>
      </c>
      <c r="E14" s="43">
        <v>0.40000000000000036</v>
      </c>
      <c r="F14" s="44">
        <v>0.40000000000000036</v>
      </c>
      <c r="G14" s="44">
        <v>0.2</v>
      </c>
      <c r="H14" s="44">
        <v>0.20000000000000018</v>
      </c>
      <c r="I14" s="31">
        <v>0.40000000000000036</v>
      </c>
      <c r="J14" s="43">
        <v>3</v>
      </c>
      <c r="K14" s="44">
        <v>4</v>
      </c>
      <c r="L14" s="44">
        <v>4</v>
      </c>
      <c r="M14" s="44">
        <v>4</v>
      </c>
      <c r="N14" s="31">
        <v>2</v>
      </c>
      <c r="O14" s="13">
        <v>3</v>
      </c>
      <c r="P14" s="13">
        <v>0</v>
      </c>
      <c r="Q14" s="13">
        <v>53</v>
      </c>
      <c r="R14" s="70">
        <v>1</v>
      </c>
    </row>
    <row r="15" spans="1:18" x14ac:dyDescent="0.35">
      <c r="D15" s="33" t="s">
        <v>16</v>
      </c>
      <c r="E15" s="43">
        <v>1.4</v>
      </c>
      <c r="F15" s="44">
        <v>0.40000000000000036</v>
      </c>
      <c r="G15" s="44">
        <v>0.8</v>
      </c>
      <c r="H15" s="44">
        <v>1</v>
      </c>
      <c r="I15" s="31">
        <v>1.4</v>
      </c>
      <c r="J15" s="43">
        <v>2</v>
      </c>
      <c r="K15" s="44">
        <v>3</v>
      </c>
      <c r="L15" s="44">
        <v>2</v>
      </c>
      <c r="M15" s="44">
        <v>3</v>
      </c>
      <c r="N15" s="31">
        <v>3</v>
      </c>
      <c r="O15" s="13">
        <v>4</v>
      </c>
      <c r="P15" s="13">
        <v>1</v>
      </c>
      <c r="Q15" s="13">
        <v>33</v>
      </c>
      <c r="R15" s="35">
        <v>0</v>
      </c>
    </row>
    <row r="16" spans="1:18" x14ac:dyDescent="0.35">
      <c r="D16" s="33" t="s">
        <v>17</v>
      </c>
      <c r="E16" s="43">
        <v>1.2000000000000002</v>
      </c>
      <c r="F16" s="44">
        <v>0.59999999999999964</v>
      </c>
      <c r="G16" s="44">
        <v>0.79999999999999982</v>
      </c>
      <c r="H16" s="44">
        <v>0.59999999999999964</v>
      </c>
      <c r="I16" s="31">
        <v>0.40000000000000036</v>
      </c>
      <c r="J16" s="43">
        <v>2</v>
      </c>
      <c r="K16" s="44">
        <v>3</v>
      </c>
      <c r="L16" s="44">
        <v>3</v>
      </c>
      <c r="M16" s="44">
        <v>3</v>
      </c>
      <c r="N16" s="31">
        <v>3</v>
      </c>
      <c r="O16" s="13">
        <v>4</v>
      </c>
      <c r="P16" s="13">
        <v>0</v>
      </c>
      <c r="Q16" s="13">
        <v>35</v>
      </c>
      <c r="R16" s="70">
        <v>0</v>
      </c>
    </row>
    <row r="17" spans="4:18" x14ac:dyDescent="0.35">
      <c r="D17" s="33" t="s">
        <v>18</v>
      </c>
      <c r="E17" s="43">
        <v>4</v>
      </c>
      <c r="F17" s="44">
        <v>1.6</v>
      </c>
      <c r="G17" s="44">
        <v>1</v>
      </c>
      <c r="H17" s="44">
        <v>1.4</v>
      </c>
      <c r="I17" s="31">
        <v>1.2</v>
      </c>
      <c r="J17" s="43">
        <v>4</v>
      </c>
      <c r="K17" s="44">
        <v>3</v>
      </c>
      <c r="L17" s="44">
        <v>4</v>
      </c>
      <c r="M17" s="44">
        <v>3</v>
      </c>
      <c r="N17" s="31">
        <v>4</v>
      </c>
      <c r="O17" s="13">
        <v>4</v>
      </c>
      <c r="P17" s="13">
        <v>0</v>
      </c>
      <c r="Q17" s="13">
        <v>31</v>
      </c>
      <c r="R17" s="70">
        <v>0</v>
      </c>
    </row>
    <row r="18" spans="4:18" x14ac:dyDescent="0.35">
      <c r="D18" s="33" t="s">
        <v>19</v>
      </c>
      <c r="E18" s="43">
        <v>3.8</v>
      </c>
      <c r="F18" s="44">
        <v>1.2000000000000002</v>
      </c>
      <c r="G18" s="44">
        <v>3.8</v>
      </c>
      <c r="H18" s="44">
        <v>2.4</v>
      </c>
      <c r="I18" s="31">
        <v>2.6</v>
      </c>
      <c r="J18" s="43">
        <v>3</v>
      </c>
      <c r="K18" s="44">
        <v>4</v>
      </c>
      <c r="L18" s="44">
        <v>2</v>
      </c>
      <c r="M18" s="44">
        <v>4</v>
      </c>
      <c r="N18" s="31">
        <v>4</v>
      </c>
      <c r="O18" s="13">
        <v>4</v>
      </c>
      <c r="P18" s="13">
        <v>1</v>
      </c>
      <c r="Q18" s="13">
        <v>59</v>
      </c>
      <c r="R18" s="35">
        <v>1</v>
      </c>
    </row>
    <row r="19" spans="4:18" ht="15" thickBot="1" x14ac:dyDescent="0.4">
      <c r="D19" s="8" t="s">
        <v>20</v>
      </c>
      <c r="E19" s="45">
        <v>3.6</v>
      </c>
      <c r="F19" s="46">
        <v>1</v>
      </c>
      <c r="G19" s="46">
        <v>0.40000000000000036</v>
      </c>
      <c r="H19" s="46">
        <v>1.6</v>
      </c>
      <c r="I19" s="47">
        <v>2</v>
      </c>
      <c r="J19" s="45">
        <v>3</v>
      </c>
      <c r="K19" s="46">
        <v>2</v>
      </c>
      <c r="L19" s="46">
        <v>4</v>
      </c>
      <c r="M19" s="46">
        <v>2</v>
      </c>
      <c r="N19" s="47">
        <v>3</v>
      </c>
      <c r="O19" s="17">
        <v>4</v>
      </c>
      <c r="P19" s="17">
        <v>1</v>
      </c>
      <c r="Q19" s="17">
        <v>35</v>
      </c>
      <c r="R19" s="36">
        <v>0</v>
      </c>
    </row>
  </sheetData>
  <mergeCells count="9">
    <mergeCell ref="O1:O3"/>
    <mergeCell ref="P1:P3"/>
    <mergeCell ref="Q1:Q3"/>
    <mergeCell ref="R1:R3"/>
    <mergeCell ref="E2:I2"/>
    <mergeCell ref="J2:N2"/>
    <mergeCell ref="A1:B1"/>
    <mergeCell ref="E1:I1"/>
    <mergeCell ref="J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9"/>
  <sheetViews>
    <sheetView workbookViewId="0">
      <selection activeCell="C27" sqref="C27"/>
    </sheetView>
  </sheetViews>
  <sheetFormatPr baseColWidth="10" defaultRowHeight="14.5" x14ac:dyDescent="0.35"/>
  <cols>
    <col min="1" max="1" width="23.54296875" style="20" customWidth="1"/>
    <col min="2" max="2" width="5.81640625" customWidth="1"/>
    <col min="4" max="4" width="3.90625" customWidth="1"/>
    <col min="5" max="28" width="2.81640625" bestFit="1" customWidth="1"/>
    <col min="29" max="29" width="3.08984375" bestFit="1" customWidth="1"/>
    <col min="30" max="60" width="2.81640625" bestFit="1" customWidth="1"/>
    <col min="61" max="61" width="7.1796875" style="20" bestFit="1" customWidth="1"/>
    <col min="62" max="62" width="8.1796875" style="20" bestFit="1" customWidth="1"/>
    <col min="63" max="63" width="4.6328125" bestFit="1" customWidth="1"/>
    <col min="64" max="64" width="3.08984375" bestFit="1" customWidth="1"/>
    <col min="65" max="65" width="3.90625" bestFit="1" customWidth="1"/>
    <col min="66" max="66" width="4.1796875" bestFit="1" customWidth="1"/>
    <col min="67" max="67" width="9.54296875" bestFit="1" customWidth="1"/>
    <col min="68" max="68" width="11.26953125" style="18" customWidth="1"/>
    <col min="69" max="69" width="66.26953125" bestFit="1" customWidth="1"/>
    <col min="70" max="70" width="26.1796875" bestFit="1" customWidth="1"/>
    <col min="71" max="71" width="157.1796875" bestFit="1" customWidth="1"/>
  </cols>
  <sheetData>
    <row r="1" spans="1:71" ht="15" thickBot="1" x14ac:dyDescent="0.4">
      <c r="A1" s="50" t="s">
        <v>33</v>
      </c>
      <c r="B1" s="51"/>
      <c r="E1" s="50" t="s">
        <v>34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0" t="s">
        <v>35</v>
      </c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1"/>
      <c r="AK1" s="50" t="s">
        <v>108</v>
      </c>
      <c r="AL1" s="56"/>
      <c r="AM1" s="56"/>
      <c r="AN1" s="56"/>
      <c r="AO1" s="56"/>
      <c r="AP1" s="56"/>
      <c r="AQ1" s="56"/>
      <c r="AR1" s="51"/>
      <c r="AS1" s="50" t="s">
        <v>37</v>
      </c>
      <c r="AT1" s="56"/>
      <c r="AU1" s="56"/>
      <c r="AV1" s="56"/>
      <c r="AW1" s="56"/>
      <c r="AX1" s="56"/>
      <c r="AY1" s="56"/>
      <c r="AZ1" s="51"/>
      <c r="BA1" s="50" t="s">
        <v>38</v>
      </c>
      <c r="BB1" s="56"/>
      <c r="BC1" s="56"/>
      <c r="BD1" s="56"/>
      <c r="BE1" s="56"/>
      <c r="BF1" s="56"/>
      <c r="BG1" s="56"/>
      <c r="BH1" s="51"/>
      <c r="BI1" s="52" t="s">
        <v>103</v>
      </c>
      <c r="BJ1" s="55"/>
      <c r="BK1" s="84" t="s">
        <v>100</v>
      </c>
      <c r="BL1" s="53"/>
      <c r="BM1" s="4" t="s">
        <v>22</v>
      </c>
      <c r="BN1" s="4" t="s">
        <v>3</v>
      </c>
      <c r="BO1" s="4" t="s">
        <v>39</v>
      </c>
      <c r="BP1" s="4" t="s">
        <v>40</v>
      </c>
      <c r="BQ1" s="4" t="s">
        <v>41</v>
      </c>
      <c r="BR1" s="4" t="s">
        <v>42</v>
      </c>
      <c r="BS1" s="4" t="s">
        <v>48</v>
      </c>
    </row>
    <row r="2" spans="1:71" ht="15" thickBot="1" x14ac:dyDescent="0.4">
      <c r="A2" s="49" t="s">
        <v>56</v>
      </c>
      <c r="B2" s="48" t="s">
        <v>99</v>
      </c>
      <c r="E2" s="50" t="s">
        <v>43</v>
      </c>
      <c r="F2" s="56"/>
      <c r="G2" s="56"/>
      <c r="H2" s="56"/>
      <c r="I2" s="56"/>
      <c r="J2" s="56"/>
      <c r="K2" s="56"/>
      <c r="L2" s="56"/>
      <c r="M2" s="50" t="s">
        <v>44</v>
      </c>
      <c r="N2" s="56"/>
      <c r="O2" s="56"/>
      <c r="P2" s="56"/>
      <c r="Q2" s="56"/>
      <c r="R2" s="56"/>
      <c r="S2" s="56"/>
      <c r="T2" s="51"/>
      <c r="U2" s="50" t="s">
        <v>43</v>
      </c>
      <c r="V2" s="56"/>
      <c r="W2" s="56"/>
      <c r="X2" s="56"/>
      <c r="Y2" s="56"/>
      <c r="Z2" s="56"/>
      <c r="AA2" s="56"/>
      <c r="AB2" s="51"/>
      <c r="AC2" s="50" t="s">
        <v>44</v>
      </c>
      <c r="AD2" s="56"/>
      <c r="AE2" s="56"/>
      <c r="AF2" s="56"/>
      <c r="AG2" s="56"/>
      <c r="AH2" s="56"/>
      <c r="AI2" s="56"/>
      <c r="AJ2" s="51"/>
      <c r="AK2" s="50" t="s">
        <v>45</v>
      </c>
      <c r="AL2" s="56"/>
      <c r="AM2" s="56"/>
      <c r="AN2" s="56"/>
      <c r="AO2" s="56"/>
      <c r="AP2" s="56"/>
      <c r="AQ2" s="56"/>
      <c r="AR2" s="51"/>
      <c r="AS2" s="50" t="s">
        <v>45</v>
      </c>
      <c r="AT2" s="56"/>
      <c r="AU2" s="56"/>
      <c r="AV2" s="56"/>
      <c r="AW2" s="56"/>
      <c r="AX2" s="56"/>
      <c r="AY2" s="56"/>
      <c r="AZ2" s="51"/>
      <c r="BA2" s="50" t="s">
        <v>45</v>
      </c>
      <c r="BB2" s="56"/>
      <c r="BC2" s="56"/>
      <c r="BD2" s="56"/>
      <c r="BE2" s="56"/>
      <c r="BF2" s="56"/>
      <c r="BG2" s="56"/>
      <c r="BH2" s="51"/>
      <c r="BI2" s="74"/>
      <c r="BJ2" s="75"/>
      <c r="BK2" s="85"/>
      <c r="BL2" s="86"/>
      <c r="BM2" s="78"/>
      <c r="BN2" s="78"/>
      <c r="BO2" s="78"/>
      <c r="BP2" s="78"/>
      <c r="BQ2" s="78"/>
      <c r="BR2" s="78"/>
      <c r="BS2" s="78"/>
    </row>
    <row r="3" spans="1:71" ht="15" thickBot="1" x14ac:dyDescent="0.4">
      <c r="A3" s="40" t="s">
        <v>110</v>
      </c>
      <c r="B3" s="42" t="s">
        <v>109</v>
      </c>
      <c r="E3" s="72" t="s">
        <v>46</v>
      </c>
      <c r="F3" s="73" t="s">
        <v>46</v>
      </c>
      <c r="G3" s="73" t="s">
        <v>46</v>
      </c>
      <c r="H3" s="73" t="s">
        <v>46</v>
      </c>
      <c r="I3" s="73" t="s">
        <v>47</v>
      </c>
      <c r="J3" s="73" t="s">
        <v>47</v>
      </c>
      <c r="K3" s="73" t="s">
        <v>47</v>
      </c>
      <c r="L3" s="48" t="s">
        <v>47</v>
      </c>
      <c r="M3" s="72" t="s">
        <v>46</v>
      </c>
      <c r="N3" s="73" t="s">
        <v>46</v>
      </c>
      <c r="O3" s="73" t="s">
        <v>46</v>
      </c>
      <c r="P3" s="73" t="s">
        <v>46</v>
      </c>
      <c r="Q3" s="73" t="s">
        <v>47</v>
      </c>
      <c r="R3" s="73" t="s">
        <v>47</v>
      </c>
      <c r="S3" s="73" t="s">
        <v>47</v>
      </c>
      <c r="T3" s="48" t="s">
        <v>47</v>
      </c>
      <c r="U3" s="72" t="s">
        <v>46</v>
      </c>
      <c r="V3" s="73" t="s">
        <v>46</v>
      </c>
      <c r="W3" s="73" t="s">
        <v>46</v>
      </c>
      <c r="X3" s="73" t="s">
        <v>46</v>
      </c>
      <c r="Y3" s="73" t="s">
        <v>47</v>
      </c>
      <c r="Z3" s="73" t="s">
        <v>47</v>
      </c>
      <c r="AA3" s="73" t="s">
        <v>47</v>
      </c>
      <c r="AB3" s="48" t="s">
        <v>47</v>
      </c>
      <c r="AC3" s="72" t="s">
        <v>46</v>
      </c>
      <c r="AD3" s="73" t="s">
        <v>46</v>
      </c>
      <c r="AE3" s="73" t="s">
        <v>46</v>
      </c>
      <c r="AF3" s="73" t="s">
        <v>46</v>
      </c>
      <c r="AG3" s="73" t="s">
        <v>47</v>
      </c>
      <c r="AH3" s="73" t="s">
        <v>47</v>
      </c>
      <c r="AI3" s="73" t="s">
        <v>47</v>
      </c>
      <c r="AJ3" s="48" t="s">
        <v>47</v>
      </c>
      <c r="AK3" s="72" t="s">
        <v>46</v>
      </c>
      <c r="AL3" s="73" t="s">
        <v>46</v>
      </c>
      <c r="AM3" s="73" t="s">
        <v>46</v>
      </c>
      <c r="AN3" s="73" t="s">
        <v>46</v>
      </c>
      <c r="AO3" s="73" t="s">
        <v>47</v>
      </c>
      <c r="AP3" s="73" t="s">
        <v>47</v>
      </c>
      <c r="AQ3" s="73" t="s">
        <v>47</v>
      </c>
      <c r="AR3" s="48" t="s">
        <v>47</v>
      </c>
      <c r="AS3" s="72" t="s">
        <v>46</v>
      </c>
      <c r="AT3" s="73" t="s">
        <v>46</v>
      </c>
      <c r="AU3" s="73" t="s">
        <v>46</v>
      </c>
      <c r="AV3" s="73" t="s">
        <v>46</v>
      </c>
      <c r="AW3" s="73" t="s">
        <v>47</v>
      </c>
      <c r="AX3" s="73" t="s">
        <v>47</v>
      </c>
      <c r="AY3" s="73" t="s">
        <v>47</v>
      </c>
      <c r="AZ3" s="48" t="s">
        <v>47</v>
      </c>
      <c r="BA3" s="72" t="s">
        <v>46</v>
      </c>
      <c r="BB3" s="73" t="s">
        <v>46</v>
      </c>
      <c r="BC3" s="73" t="s">
        <v>46</v>
      </c>
      <c r="BD3" s="73" t="s">
        <v>46</v>
      </c>
      <c r="BE3" s="73" t="s">
        <v>47</v>
      </c>
      <c r="BF3" s="73" t="s">
        <v>47</v>
      </c>
      <c r="BG3" s="73" t="s">
        <v>47</v>
      </c>
      <c r="BH3" s="48" t="s">
        <v>47</v>
      </c>
      <c r="BI3" s="109" t="s">
        <v>102</v>
      </c>
      <c r="BJ3" s="109" t="s">
        <v>101</v>
      </c>
      <c r="BK3" s="5" t="s">
        <v>43</v>
      </c>
      <c r="BL3" s="7" t="s">
        <v>44</v>
      </c>
      <c r="BM3" s="9"/>
      <c r="BN3" s="9"/>
      <c r="BO3" s="9"/>
      <c r="BP3" s="9"/>
      <c r="BQ3" s="9"/>
      <c r="BR3" s="9"/>
      <c r="BS3" s="9"/>
    </row>
    <row r="4" spans="1:71" ht="15" thickBot="1" x14ac:dyDescent="0.4">
      <c r="A4" s="45" t="s">
        <v>111</v>
      </c>
      <c r="B4" s="47" t="s">
        <v>112</v>
      </c>
      <c r="D4" s="32" t="s">
        <v>5</v>
      </c>
      <c r="E4" s="25">
        <v>1</v>
      </c>
      <c r="F4" s="26">
        <v>1</v>
      </c>
      <c r="G4" s="26">
        <v>1</v>
      </c>
      <c r="H4" s="26">
        <v>1</v>
      </c>
      <c r="I4" s="26">
        <v>1</v>
      </c>
      <c r="J4" s="26">
        <v>1</v>
      </c>
      <c r="K4" s="26">
        <v>1</v>
      </c>
      <c r="L4" s="27">
        <v>1</v>
      </c>
      <c r="M4" s="25">
        <v>1</v>
      </c>
      <c r="N4" s="26">
        <v>0</v>
      </c>
      <c r="O4" s="26">
        <v>1</v>
      </c>
      <c r="P4" s="26">
        <v>1</v>
      </c>
      <c r="Q4" s="26">
        <v>1</v>
      </c>
      <c r="R4" s="26">
        <v>1</v>
      </c>
      <c r="S4" s="26">
        <v>1</v>
      </c>
      <c r="T4" s="27">
        <v>1</v>
      </c>
      <c r="U4" s="11">
        <v>1</v>
      </c>
      <c r="V4" s="22">
        <v>1</v>
      </c>
      <c r="W4" s="22">
        <v>1</v>
      </c>
      <c r="X4" s="22">
        <v>1</v>
      </c>
      <c r="Y4" s="22">
        <v>1</v>
      </c>
      <c r="Z4" s="22">
        <v>1</v>
      </c>
      <c r="AA4" s="22">
        <v>1</v>
      </c>
      <c r="AB4" s="12">
        <v>1</v>
      </c>
      <c r="AC4" s="25">
        <v>1</v>
      </c>
      <c r="AD4" s="26">
        <v>1</v>
      </c>
      <c r="AE4" s="26">
        <v>1</v>
      </c>
      <c r="AF4" s="26">
        <v>1</v>
      </c>
      <c r="AG4" s="26">
        <v>1</v>
      </c>
      <c r="AH4" s="26">
        <v>1</v>
      </c>
      <c r="AI4" s="26">
        <v>1</v>
      </c>
      <c r="AJ4" s="27">
        <v>1</v>
      </c>
      <c r="AK4" s="11">
        <v>0</v>
      </c>
      <c r="AL4" s="22">
        <v>0</v>
      </c>
      <c r="AM4" s="22">
        <v>1</v>
      </c>
      <c r="AN4" s="22">
        <v>0</v>
      </c>
      <c r="AO4" s="22">
        <v>0</v>
      </c>
      <c r="AP4" s="22">
        <v>1</v>
      </c>
      <c r="AQ4" s="22">
        <v>1</v>
      </c>
      <c r="AR4" s="12">
        <v>1</v>
      </c>
      <c r="AS4" s="11">
        <v>0</v>
      </c>
      <c r="AT4" s="22">
        <v>1</v>
      </c>
      <c r="AU4" s="22">
        <v>1</v>
      </c>
      <c r="AV4" s="22">
        <v>1</v>
      </c>
      <c r="AW4" s="22">
        <v>1</v>
      </c>
      <c r="AX4" s="22">
        <v>1</v>
      </c>
      <c r="AY4" s="22">
        <v>1</v>
      </c>
      <c r="AZ4" s="12">
        <v>1</v>
      </c>
      <c r="BA4" s="11">
        <v>2</v>
      </c>
      <c r="BB4" s="22">
        <v>1</v>
      </c>
      <c r="BC4" s="22">
        <v>1</v>
      </c>
      <c r="BD4" s="22">
        <v>0</v>
      </c>
      <c r="BE4" s="22">
        <v>1</v>
      </c>
      <c r="BF4" s="22">
        <v>0</v>
      </c>
      <c r="BG4" s="22">
        <v>2</v>
      </c>
      <c r="BH4" s="12">
        <v>1</v>
      </c>
      <c r="BI4" s="76">
        <v>120</v>
      </c>
      <c r="BJ4" s="76">
        <v>320</v>
      </c>
      <c r="BK4" s="38">
        <v>4</v>
      </c>
      <c r="BL4" s="35">
        <v>3</v>
      </c>
      <c r="BM4" s="13">
        <v>0</v>
      </c>
      <c r="BN4" s="79">
        <v>53</v>
      </c>
      <c r="BO4" s="80">
        <v>1</v>
      </c>
      <c r="BP4" s="34">
        <v>1</v>
      </c>
      <c r="BQ4" s="28"/>
      <c r="BR4" s="29"/>
      <c r="BS4" s="28" t="s">
        <v>50</v>
      </c>
    </row>
    <row r="5" spans="1:71" ht="15" thickBot="1" x14ac:dyDescent="0.4">
      <c r="A5" s="49" t="s">
        <v>113</v>
      </c>
      <c r="B5" s="69" t="s">
        <v>99</v>
      </c>
      <c r="D5" s="33" t="s">
        <v>6</v>
      </c>
      <c r="E5" s="11">
        <v>1</v>
      </c>
      <c r="F5" s="22">
        <v>1</v>
      </c>
      <c r="G5" s="22">
        <v>1</v>
      </c>
      <c r="H5" s="22">
        <v>1</v>
      </c>
      <c r="I5" s="22">
        <v>1</v>
      </c>
      <c r="J5" s="22">
        <v>1</v>
      </c>
      <c r="K5" s="22">
        <v>1</v>
      </c>
      <c r="L5" s="12">
        <v>1</v>
      </c>
      <c r="M5" s="11">
        <v>1</v>
      </c>
      <c r="N5" s="22">
        <v>1</v>
      </c>
      <c r="O5" s="22">
        <v>1</v>
      </c>
      <c r="P5" s="22">
        <v>1</v>
      </c>
      <c r="Q5" s="22">
        <v>1</v>
      </c>
      <c r="R5" s="22">
        <v>1</v>
      </c>
      <c r="S5" s="22">
        <v>1</v>
      </c>
      <c r="T5" s="12">
        <v>1</v>
      </c>
      <c r="U5" s="11">
        <v>1</v>
      </c>
      <c r="V5" s="22">
        <v>1</v>
      </c>
      <c r="W5" s="22">
        <v>1</v>
      </c>
      <c r="X5" s="22">
        <v>1</v>
      </c>
      <c r="Y5" s="22">
        <v>1</v>
      </c>
      <c r="Z5" s="22">
        <v>1</v>
      </c>
      <c r="AA5" s="22">
        <v>1</v>
      </c>
      <c r="AB5" s="12">
        <v>1</v>
      </c>
      <c r="AC5" s="11">
        <v>1</v>
      </c>
      <c r="AD5" s="22">
        <v>1</v>
      </c>
      <c r="AE5" s="22">
        <v>1</v>
      </c>
      <c r="AF5" s="22">
        <v>1</v>
      </c>
      <c r="AG5" s="22">
        <v>1</v>
      </c>
      <c r="AH5" s="22">
        <v>1</v>
      </c>
      <c r="AI5" s="22">
        <v>1</v>
      </c>
      <c r="AJ5" s="12">
        <v>1</v>
      </c>
      <c r="AK5" s="11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12">
        <v>0</v>
      </c>
      <c r="AS5" s="11">
        <v>0</v>
      </c>
      <c r="AT5" s="22">
        <v>1</v>
      </c>
      <c r="AU5" s="22">
        <v>0</v>
      </c>
      <c r="AV5" s="22">
        <v>0</v>
      </c>
      <c r="AW5" s="22">
        <v>0</v>
      </c>
      <c r="AX5" s="22">
        <v>0</v>
      </c>
      <c r="AY5" s="22">
        <v>0</v>
      </c>
      <c r="AZ5" s="12">
        <v>0</v>
      </c>
      <c r="BA5" s="11">
        <v>3</v>
      </c>
      <c r="BB5" s="22">
        <v>3</v>
      </c>
      <c r="BC5" s="22">
        <v>3</v>
      </c>
      <c r="BD5" s="22">
        <v>3</v>
      </c>
      <c r="BE5" s="22">
        <v>3</v>
      </c>
      <c r="BF5" s="22">
        <v>3</v>
      </c>
      <c r="BG5" s="22">
        <v>3</v>
      </c>
      <c r="BH5" s="12">
        <v>3</v>
      </c>
      <c r="BI5" s="76" t="s">
        <v>52</v>
      </c>
      <c r="BJ5" s="76">
        <v>240</v>
      </c>
      <c r="BK5" s="38">
        <v>4</v>
      </c>
      <c r="BL5" s="35">
        <v>4</v>
      </c>
      <c r="BM5" s="13">
        <v>0</v>
      </c>
      <c r="BN5" s="79">
        <v>59</v>
      </c>
      <c r="BO5" s="81">
        <v>1</v>
      </c>
      <c r="BP5" s="13">
        <v>1</v>
      </c>
      <c r="BQ5" s="29" t="s">
        <v>53</v>
      </c>
      <c r="BR5" s="29"/>
      <c r="BS5" s="29" t="s">
        <v>54</v>
      </c>
    </row>
    <row r="6" spans="1:71" x14ac:dyDescent="0.35">
      <c r="A6" s="43" t="s">
        <v>49</v>
      </c>
      <c r="B6" s="12">
        <v>0</v>
      </c>
      <c r="D6" s="33" t="s">
        <v>7</v>
      </c>
      <c r="E6" s="11">
        <v>1</v>
      </c>
      <c r="F6" s="22">
        <v>1</v>
      </c>
      <c r="G6" s="22">
        <v>1</v>
      </c>
      <c r="H6" s="22">
        <v>0</v>
      </c>
      <c r="I6" s="22">
        <v>1</v>
      </c>
      <c r="J6" s="22">
        <v>1</v>
      </c>
      <c r="K6" s="22">
        <v>1</v>
      </c>
      <c r="L6" s="12">
        <v>1</v>
      </c>
      <c r="M6" s="11">
        <v>1</v>
      </c>
      <c r="N6" s="22">
        <v>1</v>
      </c>
      <c r="O6" s="22">
        <v>1</v>
      </c>
      <c r="P6" s="22">
        <v>1</v>
      </c>
      <c r="Q6" s="22">
        <v>1</v>
      </c>
      <c r="R6" s="22">
        <v>1</v>
      </c>
      <c r="S6" s="22">
        <v>1</v>
      </c>
      <c r="T6" s="12">
        <v>1</v>
      </c>
      <c r="U6" s="11">
        <v>0</v>
      </c>
      <c r="V6" s="22">
        <v>1</v>
      </c>
      <c r="W6" s="22">
        <v>1</v>
      </c>
      <c r="X6" s="22">
        <v>1</v>
      </c>
      <c r="Y6" s="22">
        <v>1</v>
      </c>
      <c r="Z6" s="22">
        <v>1</v>
      </c>
      <c r="AA6" s="22">
        <v>0</v>
      </c>
      <c r="AB6" s="12">
        <v>1</v>
      </c>
      <c r="AC6" s="11">
        <v>1</v>
      </c>
      <c r="AD6" s="22">
        <v>1</v>
      </c>
      <c r="AE6" s="22">
        <v>1</v>
      </c>
      <c r="AF6" s="22">
        <v>1</v>
      </c>
      <c r="AG6" s="22">
        <v>1</v>
      </c>
      <c r="AH6" s="22">
        <v>1</v>
      </c>
      <c r="AI6" s="22">
        <v>1</v>
      </c>
      <c r="AJ6" s="12">
        <v>1</v>
      </c>
      <c r="AK6" s="11">
        <v>0</v>
      </c>
      <c r="AL6" s="22">
        <v>1</v>
      </c>
      <c r="AM6" s="22">
        <v>2</v>
      </c>
      <c r="AN6" s="22">
        <v>2</v>
      </c>
      <c r="AO6" s="22">
        <v>1</v>
      </c>
      <c r="AP6" s="22">
        <v>2</v>
      </c>
      <c r="AQ6" s="22">
        <v>1</v>
      </c>
      <c r="AR6" s="12">
        <v>1</v>
      </c>
      <c r="AS6" s="11">
        <v>1</v>
      </c>
      <c r="AT6" s="22">
        <v>0</v>
      </c>
      <c r="AU6" s="22">
        <v>2</v>
      </c>
      <c r="AV6" s="22">
        <v>0</v>
      </c>
      <c r="AW6" s="22">
        <v>1</v>
      </c>
      <c r="AX6" s="22">
        <v>2</v>
      </c>
      <c r="AY6" s="22">
        <v>1</v>
      </c>
      <c r="AZ6" s="12">
        <v>1</v>
      </c>
      <c r="BA6" s="11">
        <v>1</v>
      </c>
      <c r="BB6" s="22">
        <v>1</v>
      </c>
      <c r="BC6" s="22">
        <v>1</v>
      </c>
      <c r="BD6" s="22">
        <v>1</v>
      </c>
      <c r="BE6" s="22">
        <v>1</v>
      </c>
      <c r="BF6" s="22">
        <v>2</v>
      </c>
      <c r="BG6" s="22">
        <v>1</v>
      </c>
      <c r="BH6" s="12">
        <v>1</v>
      </c>
      <c r="BI6" s="76">
        <v>140</v>
      </c>
      <c r="BJ6" s="76" t="s">
        <v>52</v>
      </c>
      <c r="BK6" s="38">
        <v>4</v>
      </c>
      <c r="BL6" s="35">
        <v>4</v>
      </c>
      <c r="BM6" s="13">
        <v>1</v>
      </c>
      <c r="BN6" s="79">
        <v>18</v>
      </c>
      <c r="BO6" s="81">
        <v>0</v>
      </c>
      <c r="BP6" s="13">
        <v>1</v>
      </c>
      <c r="BQ6" s="29"/>
      <c r="BR6" s="29"/>
      <c r="BS6" s="29" t="s">
        <v>55</v>
      </c>
    </row>
    <row r="7" spans="1:71" ht="15" thickBot="1" x14ac:dyDescent="0.4">
      <c r="A7" s="45" t="s">
        <v>51</v>
      </c>
      <c r="B7" s="16">
        <v>1</v>
      </c>
      <c r="D7" s="33" t="s">
        <v>8</v>
      </c>
      <c r="E7" s="11">
        <v>1</v>
      </c>
      <c r="F7" s="22">
        <v>1</v>
      </c>
      <c r="G7" s="22">
        <v>1</v>
      </c>
      <c r="H7" s="22">
        <v>0</v>
      </c>
      <c r="I7" s="22">
        <v>0</v>
      </c>
      <c r="J7" s="22">
        <v>0</v>
      </c>
      <c r="K7" s="22">
        <v>0</v>
      </c>
      <c r="L7" s="12">
        <v>0</v>
      </c>
      <c r="M7" s="11">
        <v>1</v>
      </c>
      <c r="N7" s="22">
        <v>1</v>
      </c>
      <c r="O7" s="22">
        <v>1</v>
      </c>
      <c r="P7" s="22">
        <v>1</v>
      </c>
      <c r="Q7" s="22">
        <v>1</v>
      </c>
      <c r="R7" s="22">
        <v>1</v>
      </c>
      <c r="S7" s="22">
        <v>1</v>
      </c>
      <c r="T7" s="12">
        <v>1</v>
      </c>
      <c r="U7" s="11">
        <v>1</v>
      </c>
      <c r="V7" s="22">
        <v>1</v>
      </c>
      <c r="W7" s="22">
        <v>1</v>
      </c>
      <c r="X7" s="22">
        <v>1</v>
      </c>
      <c r="Y7" s="22">
        <v>1</v>
      </c>
      <c r="Z7" s="22">
        <v>1</v>
      </c>
      <c r="AA7" s="22">
        <v>1</v>
      </c>
      <c r="AB7" s="12">
        <v>1</v>
      </c>
      <c r="AC7" s="11">
        <v>1</v>
      </c>
      <c r="AD7" s="22">
        <v>1</v>
      </c>
      <c r="AE7" s="22">
        <v>1</v>
      </c>
      <c r="AF7" s="22">
        <v>1</v>
      </c>
      <c r="AG7" s="22">
        <v>1</v>
      </c>
      <c r="AH7" s="22">
        <v>1</v>
      </c>
      <c r="AI7" s="22">
        <v>1</v>
      </c>
      <c r="AJ7" s="12">
        <v>1</v>
      </c>
      <c r="AK7" s="11">
        <v>1</v>
      </c>
      <c r="AL7" s="22">
        <v>1</v>
      </c>
      <c r="AM7" s="22">
        <v>0</v>
      </c>
      <c r="AN7" s="22">
        <v>1</v>
      </c>
      <c r="AO7" s="22">
        <v>1</v>
      </c>
      <c r="AP7" s="22">
        <v>1</v>
      </c>
      <c r="AQ7" s="22">
        <v>1</v>
      </c>
      <c r="AR7" s="12">
        <v>0</v>
      </c>
      <c r="AS7" s="11">
        <v>1</v>
      </c>
      <c r="AT7" s="22">
        <v>0</v>
      </c>
      <c r="AU7" s="22">
        <v>1</v>
      </c>
      <c r="AV7" s="22">
        <v>0</v>
      </c>
      <c r="AW7" s="22">
        <v>0</v>
      </c>
      <c r="AX7" s="22">
        <v>0</v>
      </c>
      <c r="AY7" s="22">
        <v>0</v>
      </c>
      <c r="AZ7" s="12">
        <v>1</v>
      </c>
      <c r="BA7" s="11">
        <v>2</v>
      </c>
      <c r="BB7" s="22">
        <v>1</v>
      </c>
      <c r="BC7" s="22">
        <v>1</v>
      </c>
      <c r="BD7" s="22">
        <v>1</v>
      </c>
      <c r="BE7" s="22">
        <v>1</v>
      </c>
      <c r="BF7" s="22">
        <v>1</v>
      </c>
      <c r="BG7" s="22">
        <v>1</v>
      </c>
      <c r="BH7" s="12">
        <v>1</v>
      </c>
      <c r="BI7" s="76">
        <v>360</v>
      </c>
      <c r="BJ7" s="76" t="s">
        <v>52</v>
      </c>
      <c r="BK7" s="38">
        <v>4</v>
      </c>
      <c r="BL7" s="35">
        <v>4</v>
      </c>
      <c r="BM7" s="13">
        <v>1</v>
      </c>
      <c r="BN7" s="79">
        <v>18</v>
      </c>
      <c r="BO7" s="81">
        <v>0</v>
      </c>
      <c r="BP7" s="13">
        <v>1</v>
      </c>
      <c r="BQ7" s="29"/>
      <c r="BR7" s="29"/>
      <c r="BS7" s="29" t="s">
        <v>57</v>
      </c>
    </row>
    <row r="8" spans="1:71" ht="15" thickBot="1" x14ac:dyDescent="0.4">
      <c r="A8" s="49" t="s">
        <v>35</v>
      </c>
      <c r="B8" s="48" t="s">
        <v>99</v>
      </c>
      <c r="D8" s="33" t="s">
        <v>9</v>
      </c>
      <c r="E8" s="11">
        <v>1</v>
      </c>
      <c r="F8" s="22">
        <v>1</v>
      </c>
      <c r="G8" s="22">
        <v>1</v>
      </c>
      <c r="H8" s="22">
        <v>1</v>
      </c>
      <c r="I8" s="22">
        <v>1</v>
      </c>
      <c r="J8" s="22">
        <v>1</v>
      </c>
      <c r="K8" s="22">
        <v>1</v>
      </c>
      <c r="L8" s="12">
        <v>1</v>
      </c>
      <c r="M8" s="11">
        <v>1</v>
      </c>
      <c r="N8" s="22">
        <v>1</v>
      </c>
      <c r="O8" s="22">
        <v>1</v>
      </c>
      <c r="P8" s="22">
        <v>1</v>
      </c>
      <c r="Q8" s="22">
        <v>1</v>
      </c>
      <c r="R8" s="22">
        <v>1</v>
      </c>
      <c r="S8" s="22">
        <v>1</v>
      </c>
      <c r="T8" s="12">
        <v>1</v>
      </c>
      <c r="U8" s="11">
        <v>1</v>
      </c>
      <c r="V8" s="22">
        <v>1</v>
      </c>
      <c r="W8" s="22">
        <v>1</v>
      </c>
      <c r="X8" s="22">
        <v>1</v>
      </c>
      <c r="Y8" s="22">
        <v>1</v>
      </c>
      <c r="Z8" s="22">
        <v>1</v>
      </c>
      <c r="AA8" s="22">
        <v>1</v>
      </c>
      <c r="AB8" s="12">
        <v>1</v>
      </c>
      <c r="AC8" s="11">
        <v>1</v>
      </c>
      <c r="AD8" s="22">
        <v>1</v>
      </c>
      <c r="AE8" s="22">
        <v>1</v>
      </c>
      <c r="AF8" s="22">
        <v>1</v>
      </c>
      <c r="AG8" s="22">
        <v>1</v>
      </c>
      <c r="AH8" s="22">
        <v>1</v>
      </c>
      <c r="AI8" s="22">
        <v>1</v>
      </c>
      <c r="AJ8" s="12">
        <v>1</v>
      </c>
      <c r="AK8" s="11">
        <v>1</v>
      </c>
      <c r="AL8" s="22">
        <v>0</v>
      </c>
      <c r="AM8" s="22">
        <v>1</v>
      </c>
      <c r="AN8" s="22">
        <v>1</v>
      </c>
      <c r="AO8" s="22">
        <v>1</v>
      </c>
      <c r="AP8" s="22">
        <v>1</v>
      </c>
      <c r="AQ8" s="22">
        <v>1</v>
      </c>
      <c r="AR8" s="12">
        <v>1</v>
      </c>
      <c r="AS8" s="11">
        <v>0</v>
      </c>
      <c r="AT8" s="22">
        <v>1</v>
      </c>
      <c r="AU8" s="22">
        <v>1</v>
      </c>
      <c r="AV8" s="22">
        <v>1</v>
      </c>
      <c r="AW8" s="22">
        <v>1</v>
      </c>
      <c r="AX8" s="22">
        <v>1</v>
      </c>
      <c r="AY8" s="22">
        <v>1</v>
      </c>
      <c r="AZ8" s="12">
        <v>1</v>
      </c>
      <c r="BA8" s="11">
        <v>1</v>
      </c>
      <c r="BB8" s="22">
        <v>2</v>
      </c>
      <c r="BC8" s="22">
        <v>2</v>
      </c>
      <c r="BD8" s="22">
        <v>2</v>
      </c>
      <c r="BE8" s="22">
        <v>2</v>
      </c>
      <c r="BF8" s="22">
        <v>2</v>
      </c>
      <c r="BG8" s="22">
        <v>2</v>
      </c>
      <c r="BH8" s="12">
        <v>2</v>
      </c>
      <c r="BI8" s="76" t="s">
        <v>52</v>
      </c>
      <c r="BJ8" s="76" t="s">
        <v>52</v>
      </c>
      <c r="BK8" s="38">
        <v>3</v>
      </c>
      <c r="BL8" s="35">
        <v>3</v>
      </c>
      <c r="BM8" s="13">
        <v>1</v>
      </c>
      <c r="BN8" s="79">
        <v>57</v>
      </c>
      <c r="BO8" s="81">
        <v>1</v>
      </c>
      <c r="BP8" s="13">
        <v>1</v>
      </c>
      <c r="BQ8" s="29"/>
      <c r="BR8" s="29"/>
      <c r="BS8" s="29" t="s">
        <v>59</v>
      </c>
    </row>
    <row r="9" spans="1:71" x14ac:dyDescent="0.35">
      <c r="A9" s="43" t="s">
        <v>58</v>
      </c>
      <c r="B9" s="12">
        <v>0</v>
      </c>
      <c r="D9" s="33" t="s">
        <v>10</v>
      </c>
      <c r="E9" s="11">
        <v>1</v>
      </c>
      <c r="F9" s="22">
        <v>1</v>
      </c>
      <c r="G9" s="22">
        <v>1</v>
      </c>
      <c r="H9" s="22">
        <v>1</v>
      </c>
      <c r="I9" s="22">
        <v>1</v>
      </c>
      <c r="J9" s="22">
        <v>1</v>
      </c>
      <c r="K9" s="22">
        <v>1</v>
      </c>
      <c r="L9" s="12">
        <v>1</v>
      </c>
      <c r="M9" s="11">
        <v>1</v>
      </c>
      <c r="N9" s="22">
        <v>1</v>
      </c>
      <c r="O9" s="22">
        <v>1</v>
      </c>
      <c r="P9" s="22">
        <v>1</v>
      </c>
      <c r="Q9" s="22">
        <v>1</v>
      </c>
      <c r="R9" s="22">
        <v>1</v>
      </c>
      <c r="S9" s="22">
        <v>1</v>
      </c>
      <c r="T9" s="12">
        <v>1</v>
      </c>
      <c r="U9" s="11">
        <v>1</v>
      </c>
      <c r="V9" s="22">
        <v>1</v>
      </c>
      <c r="W9" s="22">
        <v>1</v>
      </c>
      <c r="X9" s="22">
        <v>1</v>
      </c>
      <c r="Y9" s="22">
        <v>1</v>
      </c>
      <c r="Z9" s="22">
        <v>1</v>
      </c>
      <c r="AA9" s="22">
        <v>1</v>
      </c>
      <c r="AB9" s="12">
        <v>1</v>
      </c>
      <c r="AC9" s="11">
        <v>1</v>
      </c>
      <c r="AD9" s="22">
        <v>1</v>
      </c>
      <c r="AE9" s="22">
        <v>1</v>
      </c>
      <c r="AF9" s="22">
        <v>1</v>
      </c>
      <c r="AG9" s="22">
        <v>1</v>
      </c>
      <c r="AH9" s="22">
        <v>1</v>
      </c>
      <c r="AI9" s="22">
        <v>1</v>
      </c>
      <c r="AJ9" s="12">
        <v>1</v>
      </c>
      <c r="AK9" s="11">
        <v>1</v>
      </c>
      <c r="AL9" s="22">
        <v>1</v>
      </c>
      <c r="AM9" s="22">
        <v>0</v>
      </c>
      <c r="AN9" s="22">
        <v>1</v>
      </c>
      <c r="AO9" s="22">
        <v>0</v>
      </c>
      <c r="AP9" s="22">
        <v>0</v>
      </c>
      <c r="AQ9" s="22">
        <v>1</v>
      </c>
      <c r="AR9" s="12">
        <v>0</v>
      </c>
      <c r="AS9" s="11">
        <v>1</v>
      </c>
      <c r="AT9" s="22">
        <v>2</v>
      </c>
      <c r="AU9" s="22">
        <v>2</v>
      </c>
      <c r="AV9" s="22">
        <v>1</v>
      </c>
      <c r="AW9" s="22">
        <v>0</v>
      </c>
      <c r="AX9" s="22">
        <v>0</v>
      </c>
      <c r="AY9" s="22">
        <v>0</v>
      </c>
      <c r="AZ9" s="12">
        <v>0</v>
      </c>
      <c r="BA9" s="11">
        <v>2</v>
      </c>
      <c r="BB9" s="22">
        <v>2</v>
      </c>
      <c r="BC9" s="22">
        <v>2</v>
      </c>
      <c r="BD9" s="22">
        <v>1</v>
      </c>
      <c r="BE9" s="22">
        <v>2</v>
      </c>
      <c r="BF9" s="22">
        <v>2</v>
      </c>
      <c r="BG9" s="22">
        <v>2</v>
      </c>
      <c r="BH9" s="12">
        <v>3</v>
      </c>
      <c r="BI9" s="76">
        <v>180</v>
      </c>
      <c r="BJ9" s="76">
        <v>360</v>
      </c>
      <c r="BK9" s="38">
        <v>4</v>
      </c>
      <c r="BL9" s="35">
        <v>3</v>
      </c>
      <c r="BM9" s="13">
        <v>1</v>
      </c>
      <c r="BN9" s="79">
        <v>22</v>
      </c>
      <c r="BO9" s="81">
        <v>0</v>
      </c>
      <c r="BP9" s="13">
        <v>1</v>
      </c>
      <c r="BQ9" s="29"/>
      <c r="BR9" s="29"/>
      <c r="BS9" s="29" t="s">
        <v>61</v>
      </c>
    </row>
    <row r="10" spans="1:71" ht="15" thickBot="1" x14ac:dyDescent="0.4">
      <c r="A10" s="45" t="s">
        <v>60</v>
      </c>
      <c r="B10" s="16">
        <v>1</v>
      </c>
      <c r="D10" s="33" t="s">
        <v>11</v>
      </c>
      <c r="E10" s="11">
        <v>1</v>
      </c>
      <c r="F10" s="22">
        <v>1</v>
      </c>
      <c r="G10" s="22">
        <v>1</v>
      </c>
      <c r="H10" s="22">
        <v>1</v>
      </c>
      <c r="I10" s="22">
        <v>1</v>
      </c>
      <c r="J10" s="22">
        <v>1</v>
      </c>
      <c r="K10" s="22">
        <v>1</v>
      </c>
      <c r="L10" s="12">
        <v>1</v>
      </c>
      <c r="M10" s="11">
        <v>1</v>
      </c>
      <c r="N10" s="22">
        <v>1</v>
      </c>
      <c r="O10" s="22">
        <v>1</v>
      </c>
      <c r="P10" s="22">
        <v>1</v>
      </c>
      <c r="Q10" s="22">
        <v>1</v>
      </c>
      <c r="R10" s="22">
        <v>1</v>
      </c>
      <c r="S10" s="22">
        <v>1</v>
      </c>
      <c r="T10" s="12">
        <v>1</v>
      </c>
      <c r="U10" s="11">
        <v>1</v>
      </c>
      <c r="V10" s="22">
        <v>1</v>
      </c>
      <c r="W10" s="22">
        <v>1</v>
      </c>
      <c r="X10" s="22">
        <v>1</v>
      </c>
      <c r="Y10" s="22">
        <v>1</v>
      </c>
      <c r="Z10" s="22">
        <v>0</v>
      </c>
      <c r="AA10" s="22">
        <v>1</v>
      </c>
      <c r="AB10" s="12">
        <v>1</v>
      </c>
      <c r="AC10" s="11">
        <v>1</v>
      </c>
      <c r="AD10" s="22">
        <v>1</v>
      </c>
      <c r="AE10" s="22">
        <v>1</v>
      </c>
      <c r="AF10" s="22">
        <v>1</v>
      </c>
      <c r="AG10" s="22">
        <v>1</v>
      </c>
      <c r="AH10" s="22">
        <v>1</v>
      </c>
      <c r="AI10" s="22">
        <v>1</v>
      </c>
      <c r="AJ10" s="12">
        <v>1</v>
      </c>
      <c r="AK10" s="11">
        <v>0</v>
      </c>
      <c r="AL10" s="22">
        <v>1</v>
      </c>
      <c r="AM10" s="22">
        <v>0</v>
      </c>
      <c r="AN10" s="22">
        <v>1</v>
      </c>
      <c r="AO10" s="22">
        <v>0</v>
      </c>
      <c r="AP10" s="22">
        <v>0</v>
      </c>
      <c r="AQ10" s="22">
        <v>1</v>
      </c>
      <c r="AR10" s="12">
        <v>0</v>
      </c>
      <c r="AS10" s="11">
        <v>1</v>
      </c>
      <c r="AT10" s="22">
        <v>1</v>
      </c>
      <c r="AU10" s="22">
        <v>0</v>
      </c>
      <c r="AV10" s="22">
        <v>1</v>
      </c>
      <c r="AW10" s="22">
        <v>1</v>
      </c>
      <c r="AX10" s="22">
        <v>0</v>
      </c>
      <c r="AY10" s="22">
        <v>1</v>
      </c>
      <c r="AZ10" s="12">
        <v>0</v>
      </c>
      <c r="BA10" s="11">
        <v>2</v>
      </c>
      <c r="BB10" s="22">
        <v>2</v>
      </c>
      <c r="BC10" s="22">
        <v>1</v>
      </c>
      <c r="BD10" s="22">
        <v>1</v>
      </c>
      <c r="BE10" s="22">
        <v>1</v>
      </c>
      <c r="BF10" s="22">
        <v>2</v>
      </c>
      <c r="BG10" s="22">
        <v>1</v>
      </c>
      <c r="BH10" s="12">
        <v>1</v>
      </c>
      <c r="BI10" s="76">
        <v>160</v>
      </c>
      <c r="BJ10" s="76" t="s">
        <v>52</v>
      </c>
      <c r="BK10" s="38">
        <v>4</v>
      </c>
      <c r="BL10" s="35">
        <v>3</v>
      </c>
      <c r="BM10" s="13">
        <v>1</v>
      </c>
      <c r="BN10" s="79">
        <v>22</v>
      </c>
      <c r="BO10" s="81">
        <v>0</v>
      </c>
      <c r="BP10" s="13">
        <v>1</v>
      </c>
      <c r="BQ10" s="29"/>
      <c r="BR10" s="29"/>
      <c r="BS10" s="29" t="s">
        <v>62</v>
      </c>
    </row>
    <row r="11" spans="1:71" ht="15" thickBot="1" x14ac:dyDescent="0.4">
      <c r="A11" s="49" t="s">
        <v>36</v>
      </c>
      <c r="B11" s="48" t="s">
        <v>99</v>
      </c>
      <c r="D11" s="33" t="s">
        <v>12</v>
      </c>
      <c r="E11" s="11">
        <v>1</v>
      </c>
      <c r="F11" s="22">
        <v>1</v>
      </c>
      <c r="G11" s="22">
        <v>1</v>
      </c>
      <c r="H11" s="22">
        <v>1</v>
      </c>
      <c r="I11" s="22">
        <v>1</v>
      </c>
      <c r="J11" s="22">
        <v>0</v>
      </c>
      <c r="K11" s="22">
        <v>1</v>
      </c>
      <c r="L11" s="12">
        <v>1</v>
      </c>
      <c r="M11" s="11">
        <v>1</v>
      </c>
      <c r="N11" s="22">
        <v>1</v>
      </c>
      <c r="O11" s="22">
        <v>1</v>
      </c>
      <c r="P11" s="22">
        <v>0</v>
      </c>
      <c r="Q11" s="22">
        <v>0</v>
      </c>
      <c r="R11" s="22">
        <v>1</v>
      </c>
      <c r="S11" s="22">
        <v>0</v>
      </c>
      <c r="T11" s="12">
        <v>0</v>
      </c>
      <c r="U11" s="11">
        <v>1</v>
      </c>
      <c r="V11" s="22">
        <v>1</v>
      </c>
      <c r="W11" s="22">
        <v>1</v>
      </c>
      <c r="X11" s="22">
        <v>1</v>
      </c>
      <c r="Y11" s="22">
        <v>1</v>
      </c>
      <c r="Z11" s="22">
        <v>1</v>
      </c>
      <c r="AA11" s="22">
        <v>1</v>
      </c>
      <c r="AB11" s="12">
        <v>1</v>
      </c>
      <c r="AC11" s="11">
        <v>1</v>
      </c>
      <c r="AD11" s="22">
        <v>1</v>
      </c>
      <c r="AE11" s="22">
        <v>1</v>
      </c>
      <c r="AF11" s="22">
        <v>1</v>
      </c>
      <c r="AG11" s="22">
        <v>1</v>
      </c>
      <c r="AH11" s="22">
        <v>1</v>
      </c>
      <c r="AI11" s="22">
        <v>1</v>
      </c>
      <c r="AJ11" s="12">
        <v>1</v>
      </c>
      <c r="AK11" s="11">
        <v>1</v>
      </c>
      <c r="AL11" s="22">
        <v>2</v>
      </c>
      <c r="AM11" s="22">
        <v>1</v>
      </c>
      <c r="AN11" s="22">
        <v>1</v>
      </c>
      <c r="AO11" s="22">
        <v>1</v>
      </c>
      <c r="AP11" s="22">
        <v>1</v>
      </c>
      <c r="AQ11" s="22">
        <v>1</v>
      </c>
      <c r="AR11" s="12">
        <v>1</v>
      </c>
      <c r="AS11" s="11">
        <v>1</v>
      </c>
      <c r="AT11" s="22">
        <v>2</v>
      </c>
      <c r="AU11" s="22">
        <v>1</v>
      </c>
      <c r="AV11" s="22">
        <v>1</v>
      </c>
      <c r="AW11" s="22">
        <v>1</v>
      </c>
      <c r="AX11" s="22">
        <v>1</v>
      </c>
      <c r="AY11" s="22">
        <v>1</v>
      </c>
      <c r="AZ11" s="12">
        <v>1</v>
      </c>
      <c r="BA11" s="11">
        <v>1</v>
      </c>
      <c r="BB11" s="22">
        <v>1</v>
      </c>
      <c r="BC11" s="22">
        <v>1</v>
      </c>
      <c r="BD11" s="22">
        <v>1</v>
      </c>
      <c r="BE11" s="22">
        <v>1</v>
      </c>
      <c r="BF11" s="22">
        <v>1</v>
      </c>
      <c r="BG11" s="22">
        <v>1</v>
      </c>
      <c r="BH11" s="12">
        <v>1</v>
      </c>
      <c r="BI11" s="76">
        <v>280</v>
      </c>
      <c r="BJ11" s="76" t="s">
        <v>52</v>
      </c>
      <c r="BK11" s="38">
        <v>3</v>
      </c>
      <c r="BL11" s="35">
        <v>3</v>
      </c>
      <c r="BM11" s="13">
        <v>1</v>
      </c>
      <c r="BN11" s="79">
        <v>20</v>
      </c>
      <c r="BO11" s="81">
        <v>0</v>
      </c>
      <c r="BP11" s="13">
        <v>1</v>
      </c>
      <c r="BQ11" s="29"/>
      <c r="BR11" s="29"/>
      <c r="BS11" s="29" t="s">
        <v>63</v>
      </c>
    </row>
    <row r="12" spans="1:71" x14ac:dyDescent="0.35">
      <c r="A12" s="43" t="s">
        <v>64</v>
      </c>
      <c r="B12" s="12">
        <v>0</v>
      </c>
      <c r="D12" s="33" t="s">
        <v>13</v>
      </c>
      <c r="E12" s="11">
        <v>1</v>
      </c>
      <c r="F12" s="22">
        <v>1</v>
      </c>
      <c r="G12" s="22">
        <v>1</v>
      </c>
      <c r="H12" s="22">
        <v>1</v>
      </c>
      <c r="I12" s="22">
        <v>1</v>
      </c>
      <c r="J12" s="22">
        <v>1</v>
      </c>
      <c r="K12" s="22">
        <v>1</v>
      </c>
      <c r="L12" s="12">
        <v>1</v>
      </c>
      <c r="M12" s="11">
        <v>1</v>
      </c>
      <c r="N12" s="22">
        <v>1</v>
      </c>
      <c r="O12" s="22">
        <v>1</v>
      </c>
      <c r="P12" s="22">
        <v>0</v>
      </c>
      <c r="Q12" s="22">
        <v>1</v>
      </c>
      <c r="R12" s="22">
        <v>1</v>
      </c>
      <c r="S12" s="22">
        <v>1</v>
      </c>
      <c r="T12" s="12">
        <v>0</v>
      </c>
      <c r="U12" s="11">
        <v>1</v>
      </c>
      <c r="V12" s="22">
        <v>1</v>
      </c>
      <c r="W12" s="22">
        <v>1</v>
      </c>
      <c r="X12" s="22">
        <v>1</v>
      </c>
      <c r="Y12" s="22">
        <v>1</v>
      </c>
      <c r="Z12" s="22">
        <v>1</v>
      </c>
      <c r="AA12" s="22">
        <v>1</v>
      </c>
      <c r="AB12" s="12">
        <v>1</v>
      </c>
      <c r="AC12" s="11">
        <v>1</v>
      </c>
      <c r="AD12" s="22">
        <v>1</v>
      </c>
      <c r="AE12" s="22">
        <v>1</v>
      </c>
      <c r="AF12" s="22">
        <v>1</v>
      </c>
      <c r="AG12" s="22">
        <v>1</v>
      </c>
      <c r="AH12" s="22">
        <v>1</v>
      </c>
      <c r="AI12" s="22">
        <v>1</v>
      </c>
      <c r="AJ12" s="12">
        <v>1</v>
      </c>
      <c r="AK12" s="11">
        <v>1</v>
      </c>
      <c r="AL12" s="22">
        <v>1</v>
      </c>
      <c r="AM12" s="22">
        <v>1</v>
      </c>
      <c r="AN12" s="22">
        <v>1</v>
      </c>
      <c r="AO12" s="22">
        <v>1</v>
      </c>
      <c r="AP12" s="22">
        <v>1</v>
      </c>
      <c r="AQ12" s="22">
        <v>1</v>
      </c>
      <c r="AR12" s="12">
        <v>1</v>
      </c>
      <c r="AS12" s="11">
        <v>0</v>
      </c>
      <c r="AT12" s="22">
        <v>0</v>
      </c>
      <c r="AU12" s="22">
        <v>0</v>
      </c>
      <c r="AV12" s="22">
        <v>0</v>
      </c>
      <c r="AW12" s="22">
        <v>1</v>
      </c>
      <c r="AX12" s="22">
        <v>1</v>
      </c>
      <c r="AY12" s="22">
        <v>1</v>
      </c>
      <c r="AZ12" s="12">
        <v>1</v>
      </c>
      <c r="BA12" s="11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1</v>
      </c>
      <c r="BG12" s="22">
        <v>0</v>
      </c>
      <c r="BH12" s="12">
        <v>0</v>
      </c>
      <c r="BI12" s="76">
        <v>200</v>
      </c>
      <c r="BJ12" s="76" t="s">
        <v>52</v>
      </c>
      <c r="BK12" s="38">
        <v>4</v>
      </c>
      <c r="BL12" s="35">
        <v>3</v>
      </c>
      <c r="BM12" s="13">
        <v>1</v>
      </c>
      <c r="BN12" s="79">
        <v>23</v>
      </c>
      <c r="BO12" s="81">
        <v>0</v>
      </c>
      <c r="BP12" s="13">
        <v>1</v>
      </c>
      <c r="BQ12" s="29"/>
      <c r="BR12" s="29"/>
      <c r="BS12" s="29" t="s">
        <v>65</v>
      </c>
    </row>
    <row r="13" spans="1:71" x14ac:dyDescent="0.35">
      <c r="A13" s="43" t="s">
        <v>66</v>
      </c>
      <c r="B13" s="12">
        <v>1</v>
      </c>
      <c r="D13" s="33" t="s">
        <v>14</v>
      </c>
      <c r="E13" s="11">
        <v>1</v>
      </c>
      <c r="F13" s="22">
        <v>0</v>
      </c>
      <c r="G13" s="22">
        <v>1</v>
      </c>
      <c r="H13" s="22">
        <v>1</v>
      </c>
      <c r="I13" s="22">
        <v>1</v>
      </c>
      <c r="J13" s="22">
        <v>1</v>
      </c>
      <c r="K13" s="22">
        <v>1</v>
      </c>
      <c r="L13" s="12">
        <v>1</v>
      </c>
      <c r="M13" s="11">
        <v>0</v>
      </c>
      <c r="N13" s="22">
        <v>1</v>
      </c>
      <c r="O13" s="22">
        <v>0</v>
      </c>
      <c r="P13" s="22">
        <v>0</v>
      </c>
      <c r="Q13" s="22">
        <v>0</v>
      </c>
      <c r="R13" s="22">
        <v>1</v>
      </c>
      <c r="S13" s="22">
        <v>1</v>
      </c>
      <c r="T13" s="12">
        <v>1</v>
      </c>
      <c r="U13" s="11">
        <v>1</v>
      </c>
      <c r="V13" s="22">
        <v>1</v>
      </c>
      <c r="W13" s="22">
        <v>1</v>
      </c>
      <c r="X13" s="22">
        <v>1</v>
      </c>
      <c r="Y13" s="22">
        <v>1</v>
      </c>
      <c r="Z13" s="22">
        <v>1</v>
      </c>
      <c r="AA13" s="22">
        <v>1</v>
      </c>
      <c r="AB13" s="12">
        <v>1</v>
      </c>
      <c r="AC13" s="11">
        <v>1</v>
      </c>
      <c r="AD13" s="22">
        <v>1</v>
      </c>
      <c r="AE13" s="22">
        <v>1</v>
      </c>
      <c r="AF13" s="22">
        <v>1</v>
      </c>
      <c r="AG13" s="22">
        <v>1</v>
      </c>
      <c r="AH13" s="22">
        <v>1</v>
      </c>
      <c r="AI13" s="22">
        <v>1</v>
      </c>
      <c r="AJ13" s="12">
        <v>1</v>
      </c>
      <c r="AK13" s="11">
        <v>1</v>
      </c>
      <c r="AL13" s="22">
        <v>1</v>
      </c>
      <c r="AM13" s="22">
        <v>1</v>
      </c>
      <c r="AN13" s="22">
        <v>1</v>
      </c>
      <c r="AO13" s="22">
        <v>1</v>
      </c>
      <c r="AP13" s="22">
        <v>1</v>
      </c>
      <c r="AQ13" s="22">
        <v>0</v>
      </c>
      <c r="AR13" s="12">
        <v>1</v>
      </c>
      <c r="AS13" s="11">
        <v>1</v>
      </c>
      <c r="AT13" s="22">
        <v>1</v>
      </c>
      <c r="AU13" s="22">
        <v>0</v>
      </c>
      <c r="AV13" s="22">
        <v>1</v>
      </c>
      <c r="AW13" s="22">
        <v>1</v>
      </c>
      <c r="AX13" s="22">
        <v>0</v>
      </c>
      <c r="AY13" s="22">
        <v>0</v>
      </c>
      <c r="AZ13" s="12">
        <v>0</v>
      </c>
      <c r="BA13" s="11">
        <v>1</v>
      </c>
      <c r="BB13" s="22">
        <v>2</v>
      </c>
      <c r="BC13" s="22">
        <v>1</v>
      </c>
      <c r="BD13" s="22">
        <v>2</v>
      </c>
      <c r="BE13" s="22">
        <v>1</v>
      </c>
      <c r="BF13" s="22">
        <v>2</v>
      </c>
      <c r="BG13" s="22">
        <v>2</v>
      </c>
      <c r="BH13" s="12">
        <v>3</v>
      </c>
      <c r="BI13" s="76">
        <v>280</v>
      </c>
      <c r="BJ13" s="76" t="s">
        <v>52</v>
      </c>
      <c r="BK13" s="38">
        <v>2</v>
      </c>
      <c r="BL13" s="35">
        <v>3</v>
      </c>
      <c r="BM13" s="13">
        <v>1</v>
      </c>
      <c r="BN13" s="79">
        <v>18</v>
      </c>
      <c r="BO13" s="81">
        <v>0</v>
      </c>
      <c r="BP13" s="13">
        <v>1</v>
      </c>
      <c r="BQ13" s="29"/>
      <c r="BR13" s="29"/>
      <c r="BS13" s="29" t="s">
        <v>67</v>
      </c>
    </row>
    <row r="14" spans="1:71" ht="15" thickBot="1" x14ac:dyDescent="0.4">
      <c r="A14" s="45" t="s">
        <v>68</v>
      </c>
      <c r="B14" s="16">
        <v>2</v>
      </c>
      <c r="D14" s="33" t="s">
        <v>15</v>
      </c>
      <c r="E14" s="11">
        <v>1</v>
      </c>
      <c r="F14" s="22">
        <v>1</v>
      </c>
      <c r="G14" s="22">
        <v>1</v>
      </c>
      <c r="H14" s="22">
        <v>1</v>
      </c>
      <c r="I14" s="22">
        <v>1</v>
      </c>
      <c r="J14" s="22">
        <v>1</v>
      </c>
      <c r="K14" s="22">
        <v>1</v>
      </c>
      <c r="L14" s="12">
        <v>1</v>
      </c>
      <c r="M14" s="11">
        <v>1</v>
      </c>
      <c r="N14" s="22">
        <v>1</v>
      </c>
      <c r="O14" s="22">
        <v>1</v>
      </c>
      <c r="P14" s="22">
        <v>1</v>
      </c>
      <c r="Q14" s="22">
        <v>1</v>
      </c>
      <c r="R14" s="22">
        <v>1</v>
      </c>
      <c r="S14" s="22">
        <v>1</v>
      </c>
      <c r="T14" s="12">
        <v>1</v>
      </c>
      <c r="U14" s="11">
        <v>0</v>
      </c>
      <c r="V14" s="22">
        <v>1</v>
      </c>
      <c r="W14" s="22">
        <v>1</v>
      </c>
      <c r="X14" s="22">
        <v>1</v>
      </c>
      <c r="Y14" s="22">
        <v>1</v>
      </c>
      <c r="Z14" s="22">
        <v>1</v>
      </c>
      <c r="AA14" s="22">
        <v>1</v>
      </c>
      <c r="AB14" s="12">
        <v>1</v>
      </c>
      <c r="AC14" s="11">
        <v>1</v>
      </c>
      <c r="AD14" s="22">
        <v>1</v>
      </c>
      <c r="AE14" s="22">
        <v>1</v>
      </c>
      <c r="AF14" s="22">
        <v>1</v>
      </c>
      <c r="AG14" s="22">
        <v>1</v>
      </c>
      <c r="AH14" s="22">
        <v>1</v>
      </c>
      <c r="AI14" s="22">
        <v>1</v>
      </c>
      <c r="AJ14" s="12">
        <v>1</v>
      </c>
      <c r="AK14" s="11">
        <v>0</v>
      </c>
      <c r="AL14" s="22">
        <v>1</v>
      </c>
      <c r="AM14" s="22">
        <v>0</v>
      </c>
      <c r="AN14" s="22">
        <v>1</v>
      </c>
      <c r="AO14" s="22">
        <v>1</v>
      </c>
      <c r="AP14" s="22">
        <v>2</v>
      </c>
      <c r="AQ14" s="22">
        <v>1</v>
      </c>
      <c r="AR14" s="12">
        <v>1</v>
      </c>
      <c r="AS14" s="11">
        <v>2</v>
      </c>
      <c r="AT14" s="22">
        <v>1</v>
      </c>
      <c r="AU14" s="22">
        <v>0</v>
      </c>
      <c r="AV14" s="22">
        <v>1</v>
      </c>
      <c r="AW14" s="22">
        <v>0</v>
      </c>
      <c r="AX14" s="22">
        <v>2</v>
      </c>
      <c r="AY14" s="22">
        <v>1</v>
      </c>
      <c r="AZ14" s="12">
        <v>1</v>
      </c>
      <c r="BA14" s="11">
        <v>2</v>
      </c>
      <c r="BB14" s="22">
        <v>1</v>
      </c>
      <c r="BC14" s="22">
        <v>0</v>
      </c>
      <c r="BD14" s="22">
        <v>0</v>
      </c>
      <c r="BE14" s="22">
        <v>1</v>
      </c>
      <c r="BF14" s="22">
        <v>0</v>
      </c>
      <c r="BG14" s="22">
        <v>1</v>
      </c>
      <c r="BH14" s="12">
        <v>0</v>
      </c>
      <c r="BI14" s="76">
        <v>240</v>
      </c>
      <c r="BJ14" s="76">
        <v>400</v>
      </c>
      <c r="BK14" s="38">
        <v>3</v>
      </c>
      <c r="BL14" s="35">
        <v>3</v>
      </c>
      <c r="BM14" s="13">
        <v>0</v>
      </c>
      <c r="BN14" s="79">
        <v>23</v>
      </c>
      <c r="BO14" s="81">
        <v>0</v>
      </c>
      <c r="BP14" s="13">
        <v>1</v>
      </c>
      <c r="BQ14" s="29"/>
      <c r="BR14" s="29"/>
      <c r="BS14" s="29" t="s">
        <v>69</v>
      </c>
    </row>
    <row r="15" spans="1:71" ht="15" thickBot="1" x14ac:dyDescent="0.4">
      <c r="A15" s="49" t="s">
        <v>37</v>
      </c>
      <c r="B15" s="48" t="s">
        <v>99</v>
      </c>
      <c r="D15" s="33" t="s">
        <v>16</v>
      </c>
      <c r="E15" s="11">
        <v>1</v>
      </c>
      <c r="F15" s="22">
        <v>1</v>
      </c>
      <c r="G15" s="22">
        <v>1</v>
      </c>
      <c r="H15" s="22">
        <v>1</v>
      </c>
      <c r="I15" s="22">
        <v>1</v>
      </c>
      <c r="J15" s="22">
        <v>1</v>
      </c>
      <c r="K15" s="22">
        <v>1</v>
      </c>
      <c r="L15" s="12">
        <v>1</v>
      </c>
      <c r="M15" s="11">
        <v>0</v>
      </c>
      <c r="N15" s="22">
        <v>1</v>
      </c>
      <c r="O15" s="22">
        <v>0</v>
      </c>
      <c r="P15" s="22">
        <v>0</v>
      </c>
      <c r="Q15" s="22">
        <v>1</v>
      </c>
      <c r="R15" s="22">
        <v>0</v>
      </c>
      <c r="S15" s="22">
        <v>0</v>
      </c>
      <c r="T15" s="12">
        <v>1</v>
      </c>
      <c r="U15" s="11">
        <v>1</v>
      </c>
      <c r="V15" s="22">
        <v>1</v>
      </c>
      <c r="W15" s="22">
        <v>1</v>
      </c>
      <c r="X15" s="22">
        <v>1</v>
      </c>
      <c r="Y15" s="22">
        <v>0</v>
      </c>
      <c r="Z15" s="22">
        <v>1</v>
      </c>
      <c r="AA15" s="22">
        <v>1</v>
      </c>
      <c r="AB15" s="12">
        <v>1</v>
      </c>
      <c r="AC15" s="11">
        <v>1</v>
      </c>
      <c r="AD15" s="22">
        <v>1</v>
      </c>
      <c r="AE15" s="22">
        <v>1</v>
      </c>
      <c r="AF15" s="22">
        <v>1</v>
      </c>
      <c r="AG15" s="22">
        <v>1</v>
      </c>
      <c r="AH15" s="22">
        <v>1</v>
      </c>
      <c r="AI15" s="22">
        <v>1</v>
      </c>
      <c r="AJ15" s="12">
        <v>1</v>
      </c>
      <c r="AK15" s="11">
        <v>1</v>
      </c>
      <c r="AL15" s="22">
        <v>0</v>
      </c>
      <c r="AM15" s="22">
        <v>1</v>
      </c>
      <c r="AN15" s="22">
        <v>1</v>
      </c>
      <c r="AO15" s="22">
        <v>1</v>
      </c>
      <c r="AP15" s="22">
        <v>1</v>
      </c>
      <c r="AQ15" s="22">
        <v>1</v>
      </c>
      <c r="AR15" s="12">
        <v>1</v>
      </c>
      <c r="AS15" s="11">
        <v>1</v>
      </c>
      <c r="AT15" s="22">
        <v>2</v>
      </c>
      <c r="AU15" s="22">
        <v>1</v>
      </c>
      <c r="AV15" s="22">
        <v>1</v>
      </c>
      <c r="AW15" s="22">
        <v>1</v>
      </c>
      <c r="AX15" s="22">
        <v>0</v>
      </c>
      <c r="AY15" s="22">
        <v>1</v>
      </c>
      <c r="AZ15" s="12">
        <v>1</v>
      </c>
      <c r="BA15" s="11">
        <v>2</v>
      </c>
      <c r="BB15" s="22">
        <v>2</v>
      </c>
      <c r="BC15" s="22">
        <v>1</v>
      </c>
      <c r="BD15" s="22">
        <v>1</v>
      </c>
      <c r="BE15" s="22">
        <v>0</v>
      </c>
      <c r="BF15" s="22">
        <v>1</v>
      </c>
      <c r="BG15" s="22">
        <v>1</v>
      </c>
      <c r="BH15" s="12">
        <v>2</v>
      </c>
      <c r="BI15" s="76">
        <v>280</v>
      </c>
      <c r="BJ15" s="76" t="s">
        <v>52</v>
      </c>
      <c r="BK15" s="38">
        <v>4</v>
      </c>
      <c r="BL15" s="35">
        <v>2</v>
      </c>
      <c r="BM15" s="13">
        <v>1</v>
      </c>
      <c r="BN15" s="79">
        <v>23</v>
      </c>
      <c r="BO15" s="81">
        <v>0</v>
      </c>
      <c r="BP15" s="13">
        <v>1</v>
      </c>
      <c r="BQ15" s="29"/>
      <c r="BR15" s="29"/>
      <c r="BS15" s="29" t="s">
        <v>70</v>
      </c>
    </row>
    <row r="16" spans="1:71" x14ac:dyDescent="0.35">
      <c r="A16" s="43" t="s">
        <v>64</v>
      </c>
      <c r="B16" s="12">
        <v>0</v>
      </c>
      <c r="D16" s="33" t="s">
        <v>17</v>
      </c>
      <c r="E16" s="11">
        <v>1</v>
      </c>
      <c r="F16" s="22">
        <v>1</v>
      </c>
      <c r="G16" s="22">
        <v>1</v>
      </c>
      <c r="H16" s="22">
        <v>1</v>
      </c>
      <c r="I16" s="22">
        <v>1</v>
      </c>
      <c r="J16" s="22">
        <v>1</v>
      </c>
      <c r="K16" s="22">
        <v>1</v>
      </c>
      <c r="L16" s="12">
        <v>1</v>
      </c>
      <c r="M16" s="11">
        <v>1</v>
      </c>
      <c r="N16" s="22">
        <v>1</v>
      </c>
      <c r="O16" s="22">
        <v>1</v>
      </c>
      <c r="P16" s="22">
        <v>1</v>
      </c>
      <c r="Q16" s="22">
        <v>1</v>
      </c>
      <c r="R16" s="22">
        <v>1</v>
      </c>
      <c r="S16" s="22">
        <v>1</v>
      </c>
      <c r="T16" s="12">
        <v>1</v>
      </c>
      <c r="U16" s="11">
        <v>1</v>
      </c>
      <c r="V16" s="22">
        <v>1</v>
      </c>
      <c r="W16" s="22">
        <v>1</v>
      </c>
      <c r="X16" s="22">
        <v>1</v>
      </c>
      <c r="Y16" s="22">
        <v>1</v>
      </c>
      <c r="Z16" s="22">
        <v>1</v>
      </c>
      <c r="AA16" s="22">
        <v>1</v>
      </c>
      <c r="AB16" s="12">
        <v>1</v>
      </c>
      <c r="AC16" s="11">
        <v>1</v>
      </c>
      <c r="AD16" s="22">
        <v>1</v>
      </c>
      <c r="AE16" s="22">
        <v>1</v>
      </c>
      <c r="AF16" s="22">
        <v>1</v>
      </c>
      <c r="AG16" s="22">
        <v>1</v>
      </c>
      <c r="AH16" s="22">
        <v>1</v>
      </c>
      <c r="AI16" s="22">
        <v>1</v>
      </c>
      <c r="AJ16" s="12">
        <v>1</v>
      </c>
      <c r="AK16" s="11">
        <v>1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12">
        <v>0</v>
      </c>
      <c r="AS16" s="11">
        <v>0</v>
      </c>
      <c r="AT16" s="22">
        <v>0</v>
      </c>
      <c r="AU16" s="22">
        <v>0</v>
      </c>
      <c r="AV16" s="22">
        <v>1</v>
      </c>
      <c r="AW16" s="22">
        <v>0</v>
      </c>
      <c r="AX16" s="22">
        <v>0</v>
      </c>
      <c r="AY16" s="22">
        <v>1</v>
      </c>
      <c r="AZ16" s="12">
        <v>2</v>
      </c>
      <c r="BA16" s="11">
        <v>1</v>
      </c>
      <c r="BB16" s="22">
        <v>1</v>
      </c>
      <c r="BC16" s="22">
        <v>1</v>
      </c>
      <c r="BD16" s="22">
        <v>1</v>
      </c>
      <c r="BE16" s="22">
        <v>1</v>
      </c>
      <c r="BF16" s="22">
        <v>1</v>
      </c>
      <c r="BG16" s="22">
        <v>1</v>
      </c>
      <c r="BH16" s="12">
        <v>1</v>
      </c>
      <c r="BI16" s="76" t="s">
        <v>52</v>
      </c>
      <c r="BJ16" s="76" t="s">
        <v>52</v>
      </c>
      <c r="BK16" s="38">
        <v>4</v>
      </c>
      <c r="BL16" s="35">
        <v>4</v>
      </c>
      <c r="BM16" s="13">
        <v>1</v>
      </c>
      <c r="BN16" s="79">
        <v>47</v>
      </c>
      <c r="BO16" s="81">
        <v>1</v>
      </c>
      <c r="BP16" s="13">
        <v>1</v>
      </c>
      <c r="BQ16" s="29"/>
      <c r="BR16" s="29"/>
      <c r="BS16" s="29" t="s">
        <v>71</v>
      </c>
    </row>
    <row r="17" spans="1:71" x14ac:dyDescent="0.35">
      <c r="A17" s="43" t="s">
        <v>66</v>
      </c>
      <c r="B17" s="12">
        <v>1</v>
      </c>
      <c r="D17" s="33" t="s">
        <v>18</v>
      </c>
      <c r="E17" s="11">
        <v>1</v>
      </c>
      <c r="F17" s="22">
        <v>1</v>
      </c>
      <c r="G17" s="22">
        <v>1</v>
      </c>
      <c r="H17" s="22">
        <v>1</v>
      </c>
      <c r="I17" s="22">
        <v>1</v>
      </c>
      <c r="J17" s="22">
        <v>1</v>
      </c>
      <c r="K17" s="22">
        <v>1</v>
      </c>
      <c r="L17" s="12">
        <v>1</v>
      </c>
      <c r="M17" s="11">
        <v>1</v>
      </c>
      <c r="N17" s="22">
        <v>1</v>
      </c>
      <c r="O17" s="22">
        <v>1</v>
      </c>
      <c r="P17" s="22">
        <v>1</v>
      </c>
      <c r="Q17" s="22">
        <v>1</v>
      </c>
      <c r="R17" s="22">
        <v>1</v>
      </c>
      <c r="S17" s="22">
        <v>1</v>
      </c>
      <c r="T17" s="12">
        <v>1</v>
      </c>
      <c r="U17" s="11">
        <v>1</v>
      </c>
      <c r="V17" s="22">
        <v>1</v>
      </c>
      <c r="W17" s="22">
        <v>1</v>
      </c>
      <c r="X17" s="22">
        <v>1</v>
      </c>
      <c r="Y17" s="22">
        <v>1</v>
      </c>
      <c r="Z17" s="22">
        <v>1</v>
      </c>
      <c r="AA17" s="22">
        <v>1</v>
      </c>
      <c r="AB17" s="12">
        <v>1</v>
      </c>
      <c r="AC17" s="11">
        <v>1</v>
      </c>
      <c r="AD17" s="22">
        <v>1</v>
      </c>
      <c r="AE17" s="22">
        <v>1</v>
      </c>
      <c r="AF17" s="22">
        <v>1</v>
      </c>
      <c r="AG17" s="22">
        <v>1</v>
      </c>
      <c r="AH17" s="22">
        <v>1</v>
      </c>
      <c r="AI17" s="22">
        <v>1</v>
      </c>
      <c r="AJ17" s="12">
        <v>1</v>
      </c>
      <c r="AK17" s="11">
        <v>0</v>
      </c>
      <c r="AL17" s="22">
        <v>1</v>
      </c>
      <c r="AM17" s="22">
        <v>1</v>
      </c>
      <c r="AN17" s="22">
        <v>1</v>
      </c>
      <c r="AO17" s="22">
        <v>0</v>
      </c>
      <c r="AP17" s="22">
        <v>0</v>
      </c>
      <c r="AQ17" s="22">
        <v>1</v>
      </c>
      <c r="AR17" s="12">
        <v>1</v>
      </c>
      <c r="AS17" s="11">
        <v>1</v>
      </c>
      <c r="AT17" s="22">
        <v>0</v>
      </c>
      <c r="AU17" s="22">
        <v>0</v>
      </c>
      <c r="AV17" s="22">
        <v>1</v>
      </c>
      <c r="AW17" s="22">
        <v>0</v>
      </c>
      <c r="AX17" s="22">
        <v>0</v>
      </c>
      <c r="AY17" s="22">
        <v>1</v>
      </c>
      <c r="AZ17" s="12">
        <v>2</v>
      </c>
      <c r="BA17" s="11">
        <v>2</v>
      </c>
      <c r="BB17" s="22">
        <v>2</v>
      </c>
      <c r="BC17" s="22">
        <v>1</v>
      </c>
      <c r="BD17" s="22">
        <v>1</v>
      </c>
      <c r="BE17" s="22">
        <v>2</v>
      </c>
      <c r="BF17" s="22">
        <v>2</v>
      </c>
      <c r="BG17" s="22">
        <v>1</v>
      </c>
      <c r="BH17" s="12">
        <v>1</v>
      </c>
      <c r="BI17" s="76">
        <v>180</v>
      </c>
      <c r="BJ17" s="76" t="s">
        <v>52</v>
      </c>
      <c r="BK17" s="38">
        <v>4</v>
      </c>
      <c r="BL17" s="35">
        <v>4</v>
      </c>
      <c r="BM17" s="13">
        <v>0</v>
      </c>
      <c r="BN17" s="79">
        <v>37</v>
      </c>
      <c r="BO17" s="81">
        <v>1</v>
      </c>
      <c r="BP17" s="13">
        <v>1</v>
      </c>
      <c r="BQ17" s="29"/>
      <c r="BR17" s="29"/>
      <c r="BS17" s="29" t="s">
        <v>72</v>
      </c>
    </row>
    <row r="18" spans="1:71" ht="15" thickBot="1" x14ac:dyDescent="0.4">
      <c r="A18" s="45" t="s">
        <v>68</v>
      </c>
      <c r="B18" s="16">
        <v>2</v>
      </c>
      <c r="D18" s="33" t="s">
        <v>19</v>
      </c>
      <c r="E18" s="11">
        <v>1</v>
      </c>
      <c r="F18" s="22">
        <v>1</v>
      </c>
      <c r="G18" s="22">
        <v>1</v>
      </c>
      <c r="H18" s="22">
        <v>1</v>
      </c>
      <c r="I18" s="22">
        <v>1</v>
      </c>
      <c r="J18" s="22">
        <v>1</v>
      </c>
      <c r="K18" s="22">
        <v>1</v>
      </c>
      <c r="L18" s="12">
        <v>1</v>
      </c>
      <c r="M18" s="11">
        <v>1</v>
      </c>
      <c r="N18" s="22">
        <v>1</v>
      </c>
      <c r="O18" s="22">
        <v>1</v>
      </c>
      <c r="P18" s="22">
        <v>1</v>
      </c>
      <c r="Q18" s="22">
        <v>1</v>
      </c>
      <c r="R18" s="22">
        <v>1</v>
      </c>
      <c r="S18" s="22">
        <v>1</v>
      </c>
      <c r="T18" s="12">
        <v>1</v>
      </c>
      <c r="U18" s="11">
        <v>1</v>
      </c>
      <c r="V18" s="22">
        <v>1</v>
      </c>
      <c r="W18" s="22">
        <v>1</v>
      </c>
      <c r="X18" s="22">
        <v>1</v>
      </c>
      <c r="Y18" s="22">
        <v>1</v>
      </c>
      <c r="Z18" s="22">
        <v>1</v>
      </c>
      <c r="AA18" s="22">
        <v>1</v>
      </c>
      <c r="AB18" s="12">
        <v>1</v>
      </c>
      <c r="AC18" s="11">
        <v>1</v>
      </c>
      <c r="AD18" s="22">
        <v>1</v>
      </c>
      <c r="AE18" s="22">
        <v>1</v>
      </c>
      <c r="AF18" s="22">
        <v>1</v>
      </c>
      <c r="AG18" s="22">
        <v>1</v>
      </c>
      <c r="AH18" s="22">
        <v>1</v>
      </c>
      <c r="AI18" s="22">
        <v>1</v>
      </c>
      <c r="AJ18" s="12">
        <v>1</v>
      </c>
      <c r="AK18" s="11">
        <v>1</v>
      </c>
      <c r="AL18" s="22">
        <v>0</v>
      </c>
      <c r="AM18" s="22">
        <v>0</v>
      </c>
      <c r="AN18" s="22">
        <v>1</v>
      </c>
      <c r="AO18" s="22">
        <v>1</v>
      </c>
      <c r="AP18" s="22">
        <v>0</v>
      </c>
      <c r="AQ18" s="22">
        <v>1</v>
      </c>
      <c r="AR18" s="12">
        <v>0</v>
      </c>
      <c r="AS18" s="11">
        <v>1</v>
      </c>
      <c r="AT18" s="22">
        <v>0</v>
      </c>
      <c r="AU18" s="22">
        <v>0</v>
      </c>
      <c r="AV18" s="22">
        <v>1</v>
      </c>
      <c r="AW18" s="22">
        <v>0</v>
      </c>
      <c r="AX18" s="22">
        <v>0</v>
      </c>
      <c r="AY18" s="22">
        <v>0</v>
      </c>
      <c r="AZ18" s="12">
        <v>0</v>
      </c>
      <c r="BA18" s="11">
        <v>2</v>
      </c>
      <c r="BB18" s="22">
        <v>1</v>
      </c>
      <c r="BC18" s="22">
        <v>2</v>
      </c>
      <c r="BD18" s="22">
        <v>2</v>
      </c>
      <c r="BE18" s="22">
        <v>2</v>
      </c>
      <c r="BF18" s="22">
        <v>2</v>
      </c>
      <c r="BG18" s="22">
        <v>2</v>
      </c>
      <c r="BH18" s="12">
        <v>2</v>
      </c>
      <c r="BI18" s="76">
        <v>360</v>
      </c>
      <c r="BJ18" s="76" t="s">
        <v>52</v>
      </c>
      <c r="BK18" s="38">
        <v>4</v>
      </c>
      <c r="BL18" s="35">
        <v>4</v>
      </c>
      <c r="BM18" s="13">
        <v>1</v>
      </c>
      <c r="BN18" s="79">
        <v>54</v>
      </c>
      <c r="BO18" s="81">
        <v>1</v>
      </c>
      <c r="BP18" s="13">
        <v>1</v>
      </c>
      <c r="BQ18" s="29" t="s">
        <v>73</v>
      </c>
      <c r="BR18" s="29"/>
      <c r="BS18" s="29" t="s">
        <v>74</v>
      </c>
    </row>
    <row r="19" spans="1:71" ht="15" thickBot="1" x14ac:dyDescent="0.4">
      <c r="A19" s="49" t="s">
        <v>2</v>
      </c>
      <c r="B19" s="48" t="s">
        <v>99</v>
      </c>
      <c r="D19" s="33" t="s">
        <v>20</v>
      </c>
      <c r="E19" s="11">
        <v>1</v>
      </c>
      <c r="F19" s="22">
        <v>1</v>
      </c>
      <c r="G19" s="22">
        <v>1</v>
      </c>
      <c r="H19" s="22">
        <v>1</v>
      </c>
      <c r="I19" s="22">
        <v>1</v>
      </c>
      <c r="J19" s="22">
        <v>1</v>
      </c>
      <c r="K19" s="22">
        <v>1</v>
      </c>
      <c r="L19" s="12">
        <v>1</v>
      </c>
      <c r="M19" s="11">
        <v>1</v>
      </c>
      <c r="N19" s="22">
        <v>1</v>
      </c>
      <c r="O19" s="22">
        <v>1</v>
      </c>
      <c r="P19" s="22">
        <v>1</v>
      </c>
      <c r="Q19" s="22">
        <v>1</v>
      </c>
      <c r="R19" s="22">
        <v>1</v>
      </c>
      <c r="S19" s="22">
        <v>1</v>
      </c>
      <c r="T19" s="12">
        <v>1</v>
      </c>
      <c r="U19" s="11">
        <v>1</v>
      </c>
      <c r="V19" s="22">
        <v>1</v>
      </c>
      <c r="W19" s="22">
        <v>1</v>
      </c>
      <c r="X19" s="22">
        <v>0</v>
      </c>
      <c r="Y19" s="22">
        <v>1</v>
      </c>
      <c r="Z19" s="22">
        <v>1</v>
      </c>
      <c r="AA19" s="22">
        <v>0</v>
      </c>
      <c r="AB19" s="12">
        <v>1</v>
      </c>
      <c r="AC19" s="11">
        <v>1</v>
      </c>
      <c r="AD19" s="22">
        <v>1</v>
      </c>
      <c r="AE19" s="22">
        <v>1</v>
      </c>
      <c r="AF19" s="22">
        <v>1</v>
      </c>
      <c r="AG19" s="22">
        <v>1</v>
      </c>
      <c r="AH19" s="22">
        <v>1</v>
      </c>
      <c r="AI19" s="22">
        <v>1</v>
      </c>
      <c r="AJ19" s="12">
        <v>1</v>
      </c>
      <c r="AK19" s="11">
        <v>0</v>
      </c>
      <c r="AL19" s="22">
        <v>1</v>
      </c>
      <c r="AM19" s="22">
        <v>1</v>
      </c>
      <c r="AN19" s="22">
        <v>1</v>
      </c>
      <c r="AO19" s="22">
        <v>1</v>
      </c>
      <c r="AP19" s="22">
        <v>1</v>
      </c>
      <c r="AQ19" s="22">
        <v>1</v>
      </c>
      <c r="AR19" s="12">
        <v>1</v>
      </c>
      <c r="AS19" s="11">
        <v>1</v>
      </c>
      <c r="AT19" s="22">
        <v>1</v>
      </c>
      <c r="AU19" s="22">
        <v>1</v>
      </c>
      <c r="AV19" s="22">
        <v>1</v>
      </c>
      <c r="AW19" s="22">
        <v>1</v>
      </c>
      <c r="AX19" s="22">
        <v>1</v>
      </c>
      <c r="AY19" s="22">
        <v>1</v>
      </c>
      <c r="AZ19" s="12">
        <v>1</v>
      </c>
      <c r="BA19" s="11">
        <v>1</v>
      </c>
      <c r="BB19" s="22">
        <v>1</v>
      </c>
      <c r="BC19" s="22">
        <v>1</v>
      </c>
      <c r="BD19" s="22">
        <v>1</v>
      </c>
      <c r="BE19" s="22">
        <v>1</v>
      </c>
      <c r="BF19" s="22">
        <v>1</v>
      </c>
      <c r="BG19" s="22">
        <v>1</v>
      </c>
      <c r="BH19" s="12">
        <v>1</v>
      </c>
      <c r="BI19" s="76">
        <v>280</v>
      </c>
      <c r="BJ19" s="76" t="s">
        <v>52</v>
      </c>
      <c r="BK19" s="38">
        <v>3</v>
      </c>
      <c r="BL19" s="35">
        <v>2</v>
      </c>
      <c r="BM19" s="13">
        <v>1</v>
      </c>
      <c r="BN19" s="79">
        <v>23</v>
      </c>
      <c r="BO19" s="81">
        <v>0</v>
      </c>
      <c r="BP19" s="13">
        <v>1</v>
      </c>
      <c r="BQ19" s="29"/>
      <c r="BR19" s="29" t="s">
        <v>75</v>
      </c>
      <c r="BS19" s="29" t="s">
        <v>76</v>
      </c>
    </row>
    <row r="20" spans="1:71" x14ac:dyDescent="0.35">
      <c r="A20" s="43" t="s">
        <v>81</v>
      </c>
      <c r="B20" s="12">
        <v>0</v>
      </c>
      <c r="D20" s="33" t="s">
        <v>77</v>
      </c>
      <c r="E20" s="11">
        <v>1</v>
      </c>
      <c r="F20" s="22">
        <v>1</v>
      </c>
      <c r="G20" s="22">
        <v>1</v>
      </c>
      <c r="H20" s="22">
        <v>1</v>
      </c>
      <c r="I20" s="22">
        <v>1</v>
      </c>
      <c r="J20" s="22">
        <v>1</v>
      </c>
      <c r="K20" s="22">
        <v>1</v>
      </c>
      <c r="L20" s="12">
        <v>1</v>
      </c>
      <c r="M20" s="11">
        <v>1</v>
      </c>
      <c r="N20" s="22">
        <v>1</v>
      </c>
      <c r="O20" s="22">
        <v>1</v>
      </c>
      <c r="P20" s="22">
        <v>1</v>
      </c>
      <c r="Q20" s="22">
        <v>1</v>
      </c>
      <c r="R20" s="22">
        <v>1</v>
      </c>
      <c r="S20" s="22">
        <v>1</v>
      </c>
      <c r="T20" s="12">
        <v>1</v>
      </c>
      <c r="U20" s="11">
        <v>1</v>
      </c>
      <c r="V20" s="22">
        <v>1</v>
      </c>
      <c r="W20" s="22">
        <v>1</v>
      </c>
      <c r="X20" s="22">
        <v>1</v>
      </c>
      <c r="Y20" s="22">
        <v>1</v>
      </c>
      <c r="Z20" s="22">
        <v>1</v>
      </c>
      <c r="AA20" s="22">
        <v>1</v>
      </c>
      <c r="AB20" s="12">
        <v>1</v>
      </c>
      <c r="AC20" s="11">
        <v>1</v>
      </c>
      <c r="AD20" s="22">
        <v>1</v>
      </c>
      <c r="AE20" s="22">
        <v>1</v>
      </c>
      <c r="AF20" s="22">
        <v>1</v>
      </c>
      <c r="AG20" s="22">
        <v>1</v>
      </c>
      <c r="AH20" s="22">
        <v>1</v>
      </c>
      <c r="AI20" s="22">
        <v>1</v>
      </c>
      <c r="AJ20" s="12">
        <v>1</v>
      </c>
      <c r="AK20" s="11">
        <v>1</v>
      </c>
      <c r="AL20" s="22">
        <v>1</v>
      </c>
      <c r="AM20" s="22">
        <v>1</v>
      </c>
      <c r="AN20" s="22">
        <v>1</v>
      </c>
      <c r="AO20" s="22">
        <v>1</v>
      </c>
      <c r="AP20" s="22">
        <v>1</v>
      </c>
      <c r="AQ20" s="22">
        <v>1</v>
      </c>
      <c r="AR20" s="12">
        <v>1</v>
      </c>
      <c r="AS20" s="11">
        <v>1</v>
      </c>
      <c r="AT20" s="22">
        <v>2</v>
      </c>
      <c r="AU20" s="22">
        <v>2</v>
      </c>
      <c r="AV20" s="22">
        <v>1</v>
      </c>
      <c r="AW20" s="22">
        <v>1</v>
      </c>
      <c r="AX20" s="22">
        <v>0</v>
      </c>
      <c r="AY20" s="22">
        <v>2</v>
      </c>
      <c r="AZ20" s="12">
        <v>1</v>
      </c>
      <c r="BA20" s="11">
        <v>1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12">
        <v>0</v>
      </c>
      <c r="BI20" s="76">
        <v>280</v>
      </c>
      <c r="BJ20" s="76">
        <v>240</v>
      </c>
      <c r="BK20" s="38">
        <v>4</v>
      </c>
      <c r="BL20" s="35">
        <v>4</v>
      </c>
      <c r="BM20" s="13">
        <v>1</v>
      </c>
      <c r="BN20" s="79">
        <v>35</v>
      </c>
      <c r="BO20" s="81">
        <v>0</v>
      </c>
      <c r="BP20" s="13">
        <v>1</v>
      </c>
      <c r="BQ20" s="29"/>
      <c r="BR20" s="29"/>
      <c r="BS20" s="29" t="s">
        <v>78</v>
      </c>
    </row>
    <row r="21" spans="1:71" ht="15" thickBot="1" x14ac:dyDescent="0.4">
      <c r="A21" s="45" t="s">
        <v>24</v>
      </c>
      <c r="B21" s="16">
        <v>1</v>
      </c>
      <c r="D21" s="33" t="s">
        <v>79</v>
      </c>
      <c r="E21" s="11">
        <v>1</v>
      </c>
      <c r="F21" s="22">
        <v>1</v>
      </c>
      <c r="G21" s="22">
        <v>1</v>
      </c>
      <c r="H21" s="22">
        <v>1</v>
      </c>
      <c r="I21" s="22">
        <v>1</v>
      </c>
      <c r="J21" s="22">
        <v>1</v>
      </c>
      <c r="K21" s="22">
        <v>1</v>
      </c>
      <c r="L21" s="12">
        <v>1</v>
      </c>
      <c r="M21" s="11">
        <v>1</v>
      </c>
      <c r="N21" s="22">
        <v>1</v>
      </c>
      <c r="O21" s="22">
        <v>1</v>
      </c>
      <c r="P21" s="22">
        <v>1</v>
      </c>
      <c r="Q21" s="22">
        <v>1</v>
      </c>
      <c r="R21" s="22">
        <v>1</v>
      </c>
      <c r="S21" s="22">
        <v>1</v>
      </c>
      <c r="T21" s="12">
        <v>1</v>
      </c>
      <c r="U21" s="11">
        <v>1</v>
      </c>
      <c r="V21" s="22">
        <v>1</v>
      </c>
      <c r="W21" s="22">
        <v>1</v>
      </c>
      <c r="X21" s="22">
        <v>1</v>
      </c>
      <c r="Y21" s="22">
        <v>1</v>
      </c>
      <c r="Z21" s="22">
        <v>1</v>
      </c>
      <c r="AA21" s="22">
        <v>1</v>
      </c>
      <c r="AB21" s="12">
        <v>1</v>
      </c>
      <c r="AC21" s="11">
        <v>1</v>
      </c>
      <c r="AD21" s="22">
        <v>1</v>
      </c>
      <c r="AE21" s="22">
        <v>1</v>
      </c>
      <c r="AF21" s="22">
        <v>1</v>
      </c>
      <c r="AG21" s="22">
        <v>1</v>
      </c>
      <c r="AH21" s="22">
        <v>1</v>
      </c>
      <c r="AI21" s="22">
        <v>1</v>
      </c>
      <c r="AJ21" s="12">
        <v>1</v>
      </c>
      <c r="AK21" s="11">
        <v>0</v>
      </c>
      <c r="AL21" s="22">
        <v>1</v>
      </c>
      <c r="AM21" s="22">
        <v>1</v>
      </c>
      <c r="AN21" s="22">
        <v>0</v>
      </c>
      <c r="AO21" s="22">
        <v>0</v>
      </c>
      <c r="AP21" s="22">
        <v>1</v>
      </c>
      <c r="AQ21" s="22">
        <v>0</v>
      </c>
      <c r="AR21" s="12">
        <v>0</v>
      </c>
      <c r="AS21" s="11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1</v>
      </c>
      <c r="AZ21" s="12">
        <v>0</v>
      </c>
      <c r="BA21" s="11">
        <v>2</v>
      </c>
      <c r="BB21" s="22">
        <v>1</v>
      </c>
      <c r="BC21" s="22">
        <v>1</v>
      </c>
      <c r="BD21" s="22">
        <v>2</v>
      </c>
      <c r="BE21" s="22">
        <v>3</v>
      </c>
      <c r="BF21" s="22">
        <v>2</v>
      </c>
      <c r="BG21" s="22">
        <v>2</v>
      </c>
      <c r="BH21" s="12">
        <v>1</v>
      </c>
      <c r="BI21" s="76">
        <v>200</v>
      </c>
      <c r="BJ21" s="76" t="s">
        <v>52</v>
      </c>
      <c r="BK21" s="38">
        <v>4</v>
      </c>
      <c r="BL21" s="35">
        <v>4</v>
      </c>
      <c r="BM21" s="13">
        <v>1</v>
      </c>
      <c r="BN21" s="79">
        <v>18</v>
      </c>
      <c r="BO21" s="81">
        <v>0</v>
      </c>
      <c r="BP21" s="13">
        <v>1</v>
      </c>
      <c r="BQ21" s="29"/>
      <c r="BR21" s="29"/>
      <c r="BS21" s="29" t="s">
        <v>80</v>
      </c>
    </row>
    <row r="22" spans="1:71" ht="15" thickBot="1" x14ac:dyDescent="0.4">
      <c r="A22" s="49" t="s">
        <v>4</v>
      </c>
      <c r="B22" s="48" t="s">
        <v>99</v>
      </c>
      <c r="D22" s="33" t="s">
        <v>82</v>
      </c>
      <c r="E22" s="11">
        <v>1</v>
      </c>
      <c r="F22" s="22">
        <v>1</v>
      </c>
      <c r="G22" s="22">
        <v>1</v>
      </c>
      <c r="H22" s="22">
        <v>1</v>
      </c>
      <c r="I22" s="22">
        <v>1</v>
      </c>
      <c r="J22" s="22">
        <v>1</v>
      </c>
      <c r="K22" s="22">
        <v>1</v>
      </c>
      <c r="L22" s="12">
        <v>1</v>
      </c>
      <c r="M22" s="11">
        <v>1</v>
      </c>
      <c r="N22" s="22">
        <v>0</v>
      </c>
      <c r="O22" s="22">
        <v>1</v>
      </c>
      <c r="P22" s="22">
        <v>0</v>
      </c>
      <c r="Q22" s="22">
        <v>1</v>
      </c>
      <c r="R22" s="22">
        <v>0</v>
      </c>
      <c r="S22" s="22">
        <v>0</v>
      </c>
      <c r="T22" s="12">
        <v>1</v>
      </c>
      <c r="U22" s="11">
        <v>0</v>
      </c>
      <c r="V22" s="22">
        <v>1</v>
      </c>
      <c r="W22" s="22">
        <v>1</v>
      </c>
      <c r="X22" s="22">
        <v>1</v>
      </c>
      <c r="Y22" s="22">
        <v>1</v>
      </c>
      <c r="Z22" s="22">
        <v>1</v>
      </c>
      <c r="AA22" s="22">
        <v>1</v>
      </c>
      <c r="AB22" s="12">
        <v>1</v>
      </c>
      <c r="AC22" s="11">
        <v>1</v>
      </c>
      <c r="AD22" s="22">
        <v>1</v>
      </c>
      <c r="AE22" s="22">
        <v>1</v>
      </c>
      <c r="AF22" s="22">
        <v>1</v>
      </c>
      <c r="AG22" s="22">
        <v>1</v>
      </c>
      <c r="AH22" s="22">
        <v>1</v>
      </c>
      <c r="AI22" s="22">
        <v>1</v>
      </c>
      <c r="AJ22" s="12">
        <v>1</v>
      </c>
      <c r="AK22" s="11">
        <v>1</v>
      </c>
      <c r="AL22" s="22">
        <v>1</v>
      </c>
      <c r="AM22" s="22">
        <v>1</v>
      </c>
      <c r="AN22" s="22">
        <v>1</v>
      </c>
      <c r="AO22" s="22">
        <v>0</v>
      </c>
      <c r="AP22" s="22">
        <v>1</v>
      </c>
      <c r="AQ22" s="22">
        <v>1</v>
      </c>
      <c r="AR22" s="12">
        <v>1</v>
      </c>
      <c r="AS22" s="11">
        <v>2</v>
      </c>
      <c r="AT22" s="22">
        <v>0</v>
      </c>
      <c r="AU22" s="22">
        <v>2</v>
      </c>
      <c r="AV22" s="22">
        <v>1</v>
      </c>
      <c r="AW22" s="22">
        <v>0</v>
      </c>
      <c r="AX22" s="22">
        <v>1</v>
      </c>
      <c r="AY22" s="22">
        <v>1</v>
      </c>
      <c r="AZ22" s="12">
        <v>1</v>
      </c>
      <c r="BA22" s="11">
        <v>2</v>
      </c>
      <c r="BB22" s="22">
        <v>1</v>
      </c>
      <c r="BC22" s="22">
        <v>0</v>
      </c>
      <c r="BD22" s="22">
        <v>1</v>
      </c>
      <c r="BE22" s="22">
        <v>1</v>
      </c>
      <c r="BF22" s="22">
        <v>1</v>
      </c>
      <c r="BG22" s="22">
        <v>1</v>
      </c>
      <c r="BH22" s="12">
        <v>2</v>
      </c>
      <c r="BI22" s="76">
        <v>160</v>
      </c>
      <c r="BJ22" s="76" t="s">
        <v>52</v>
      </c>
      <c r="BK22" s="38">
        <v>3</v>
      </c>
      <c r="BL22" s="35">
        <v>3</v>
      </c>
      <c r="BM22" s="13">
        <v>0</v>
      </c>
      <c r="BN22" s="79">
        <v>23</v>
      </c>
      <c r="BO22" s="81">
        <v>0</v>
      </c>
      <c r="BP22" s="13">
        <v>1</v>
      </c>
      <c r="BQ22" s="29"/>
      <c r="BR22" s="29"/>
      <c r="BS22" s="29" t="s">
        <v>76</v>
      </c>
    </row>
    <row r="23" spans="1:71" x14ac:dyDescent="0.35">
      <c r="A23" s="43" t="s">
        <v>87</v>
      </c>
      <c r="B23" s="12">
        <v>0</v>
      </c>
      <c r="D23" s="33" t="s">
        <v>83</v>
      </c>
      <c r="E23" s="11">
        <v>1</v>
      </c>
      <c r="F23" s="22">
        <v>1</v>
      </c>
      <c r="G23" s="22">
        <v>1</v>
      </c>
      <c r="H23" s="22">
        <v>1</v>
      </c>
      <c r="I23" s="22">
        <v>1</v>
      </c>
      <c r="J23" s="22">
        <v>1</v>
      </c>
      <c r="K23" s="22">
        <v>1</v>
      </c>
      <c r="L23" s="12">
        <v>1</v>
      </c>
      <c r="M23" s="11">
        <v>1</v>
      </c>
      <c r="N23" s="22">
        <v>1</v>
      </c>
      <c r="O23" s="22">
        <v>1</v>
      </c>
      <c r="P23" s="22">
        <v>1</v>
      </c>
      <c r="Q23" s="22">
        <v>1</v>
      </c>
      <c r="R23" s="22">
        <v>1</v>
      </c>
      <c r="S23" s="22">
        <v>1</v>
      </c>
      <c r="T23" s="12">
        <v>1</v>
      </c>
      <c r="U23" s="11">
        <v>1</v>
      </c>
      <c r="V23" s="22">
        <v>1</v>
      </c>
      <c r="W23" s="22">
        <v>1</v>
      </c>
      <c r="X23" s="22">
        <v>1</v>
      </c>
      <c r="Y23" s="22">
        <v>1</v>
      </c>
      <c r="Z23" s="22">
        <v>1</v>
      </c>
      <c r="AA23" s="22">
        <v>1</v>
      </c>
      <c r="AB23" s="12">
        <v>1</v>
      </c>
      <c r="AC23" s="11">
        <v>1</v>
      </c>
      <c r="AD23" s="22">
        <v>1</v>
      </c>
      <c r="AE23" s="22">
        <v>1</v>
      </c>
      <c r="AF23" s="22">
        <v>1</v>
      </c>
      <c r="AG23" s="22">
        <v>1</v>
      </c>
      <c r="AH23" s="22">
        <v>1</v>
      </c>
      <c r="AI23" s="22">
        <v>1</v>
      </c>
      <c r="AJ23" s="12">
        <v>1</v>
      </c>
      <c r="AK23" s="11">
        <v>1</v>
      </c>
      <c r="AL23" s="22">
        <v>1</v>
      </c>
      <c r="AM23" s="22">
        <v>0</v>
      </c>
      <c r="AN23" s="22">
        <v>0</v>
      </c>
      <c r="AO23" s="22">
        <v>1</v>
      </c>
      <c r="AP23" s="22">
        <v>1</v>
      </c>
      <c r="AQ23" s="22">
        <v>0</v>
      </c>
      <c r="AR23" s="12">
        <v>0</v>
      </c>
      <c r="AS23" s="11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12">
        <v>1</v>
      </c>
      <c r="BA23" s="11">
        <v>1</v>
      </c>
      <c r="BB23" s="22">
        <v>1</v>
      </c>
      <c r="BC23" s="22">
        <v>1</v>
      </c>
      <c r="BD23" s="22">
        <v>1</v>
      </c>
      <c r="BE23" s="22">
        <v>1</v>
      </c>
      <c r="BF23" s="22">
        <v>1</v>
      </c>
      <c r="BG23" s="22">
        <v>1</v>
      </c>
      <c r="BH23" s="12">
        <v>1</v>
      </c>
      <c r="BI23" s="76">
        <v>120</v>
      </c>
      <c r="BJ23" s="76" t="s">
        <v>52</v>
      </c>
      <c r="BK23" s="38">
        <v>4</v>
      </c>
      <c r="BL23" s="35">
        <v>3</v>
      </c>
      <c r="BM23" s="13">
        <v>0</v>
      </c>
      <c r="BN23" s="79">
        <v>36</v>
      </c>
      <c r="BO23" s="81">
        <v>1</v>
      </c>
      <c r="BP23" s="13">
        <v>1</v>
      </c>
      <c r="BQ23" s="29"/>
      <c r="BR23" s="29"/>
      <c r="BS23" s="29" t="s">
        <v>76</v>
      </c>
    </row>
    <row r="24" spans="1:71" ht="15" thickBot="1" x14ac:dyDescent="0.4">
      <c r="A24" s="45" t="s">
        <v>89</v>
      </c>
      <c r="B24" s="16">
        <v>1</v>
      </c>
      <c r="D24" s="33" t="s">
        <v>84</v>
      </c>
      <c r="E24" s="11">
        <v>1</v>
      </c>
      <c r="F24" s="22">
        <v>1</v>
      </c>
      <c r="G24" s="22">
        <v>1</v>
      </c>
      <c r="H24" s="22">
        <v>1</v>
      </c>
      <c r="I24" s="22">
        <v>1</v>
      </c>
      <c r="J24" s="22">
        <v>1</v>
      </c>
      <c r="K24" s="22">
        <v>1</v>
      </c>
      <c r="L24" s="12">
        <v>1</v>
      </c>
      <c r="M24" s="11">
        <v>1</v>
      </c>
      <c r="N24" s="22">
        <v>1</v>
      </c>
      <c r="O24" s="22">
        <v>1</v>
      </c>
      <c r="P24" s="22">
        <v>0</v>
      </c>
      <c r="Q24" s="22">
        <v>0</v>
      </c>
      <c r="R24" s="22">
        <v>1</v>
      </c>
      <c r="S24" s="22">
        <v>1</v>
      </c>
      <c r="T24" s="12">
        <v>1</v>
      </c>
      <c r="U24" s="11">
        <v>1</v>
      </c>
      <c r="V24" s="22">
        <v>1</v>
      </c>
      <c r="W24" s="22">
        <v>1</v>
      </c>
      <c r="X24" s="22">
        <v>1</v>
      </c>
      <c r="Y24" s="22">
        <v>1</v>
      </c>
      <c r="Z24" s="22">
        <v>1</v>
      </c>
      <c r="AA24" s="22">
        <v>1</v>
      </c>
      <c r="AB24" s="12">
        <v>1</v>
      </c>
      <c r="AC24" s="11">
        <v>1</v>
      </c>
      <c r="AD24" s="22">
        <v>1</v>
      </c>
      <c r="AE24" s="22">
        <v>1</v>
      </c>
      <c r="AF24" s="22">
        <v>0</v>
      </c>
      <c r="AG24" s="22">
        <v>1</v>
      </c>
      <c r="AH24" s="22">
        <v>1</v>
      </c>
      <c r="AI24" s="22">
        <v>1</v>
      </c>
      <c r="AJ24" s="12">
        <v>1</v>
      </c>
      <c r="AK24" s="11">
        <v>1</v>
      </c>
      <c r="AL24" s="22">
        <v>1</v>
      </c>
      <c r="AM24" s="22">
        <v>1</v>
      </c>
      <c r="AN24" s="22">
        <v>1</v>
      </c>
      <c r="AO24" s="22">
        <v>1</v>
      </c>
      <c r="AP24" s="22">
        <v>1</v>
      </c>
      <c r="AQ24" s="22">
        <v>1</v>
      </c>
      <c r="AR24" s="12">
        <v>1</v>
      </c>
      <c r="AS24" s="11">
        <v>1</v>
      </c>
      <c r="AT24" s="22">
        <v>1</v>
      </c>
      <c r="AU24" s="22">
        <v>1</v>
      </c>
      <c r="AV24" s="22">
        <v>1</v>
      </c>
      <c r="AW24" s="22">
        <v>1</v>
      </c>
      <c r="AX24" s="22">
        <v>1</v>
      </c>
      <c r="AY24" s="22">
        <v>1</v>
      </c>
      <c r="AZ24" s="12">
        <v>1</v>
      </c>
      <c r="BA24" s="11">
        <v>1</v>
      </c>
      <c r="BB24" s="22">
        <v>1</v>
      </c>
      <c r="BC24" s="22">
        <v>2</v>
      </c>
      <c r="BD24" s="22">
        <v>1</v>
      </c>
      <c r="BE24" s="22">
        <v>1</v>
      </c>
      <c r="BF24" s="22">
        <v>1</v>
      </c>
      <c r="BG24" s="22">
        <v>1</v>
      </c>
      <c r="BH24" s="12">
        <v>2</v>
      </c>
      <c r="BI24" s="76">
        <v>240</v>
      </c>
      <c r="BJ24" s="76" t="s">
        <v>52</v>
      </c>
      <c r="BK24" s="38">
        <v>3</v>
      </c>
      <c r="BL24" s="35">
        <v>2</v>
      </c>
      <c r="BM24" s="13">
        <v>0</v>
      </c>
      <c r="BN24" s="79">
        <v>22</v>
      </c>
      <c r="BO24" s="81">
        <v>0</v>
      </c>
      <c r="BP24" s="13">
        <v>1</v>
      </c>
      <c r="BQ24" s="29"/>
      <c r="BR24" s="29"/>
      <c r="BS24" s="29" t="s">
        <v>85</v>
      </c>
    </row>
    <row r="25" spans="1:71" ht="15" thickBot="1" x14ac:dyDescent="0.4">
      <c r="A25" s="49" t="s">
        <v>40</v>
      </c>
      <c r="B25" s="48" t="s">
        <v>99</v>
      </c>
      <c r="D25" s="33" t="s">
        <v>86</v>
      </c>
      <c r="E25" s="11">
        <v>1</v>
      </c>
      <c r="F25" s="22">
        <v>1</v>
      </c>
      <c r="G25" s="22">
        <v>1</v>
      </c>
      <c r="H25" s="22">
        <v>1</v>
      </c>
      <c r="I25" s="22">
        <v>1</v>
      </c>
      <c r="J25" s="22">
        <v>1</v>
      </c>
      <c r="K25" s="22">
        <v>1</v>
      </c>
      <c r="L25" s="12">
        <v>1</v>
      </c>
      <c r="M25" s="11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12">
        <v>0</v>
      </c>
      <c r="U25" s="11">
        <v>1</v>
      </c>
      <c r="V25" s="22">
        <v>1</v>
      </c>
      <c r="W25" s="22">
        <v>1</v>
      </c>
      <c r="X25" s="22">
        <v>1</v>
      </c>
      <c r="Y25" s="22">
        <v>1</v>
      </c>
      <c r="Z25" s="22">
        <v>1</v>
      </c>
      <c r="AA25" s="22">
        <v>1</v>
      </c>
      <c r="AB25" s="12">
        <v>1</v>
      </c>
      <c r="AC25" s="11">
        <v>1</v>
      </c>
      <c r="AD25" s="22">
        <v>1</v>
      </c>
      <c r="AE25" s="22">
        <v>1</v>
      </c>
      <c r="AF25" s="22">
        <v>1</v>
      </c>
      <c r="AG25" s="22">
        <v>1</v>
      </c>
      <c r="AH25" s="22">
        <v>1</v>
      </c>
      <c r="AI25" s="22">
        <v>1</v>
      </c>
      <c r="AJ25" s="12">
        <v>1</v>
      </c>
      <c r="AK25" s="11">
        <v>1</v>
      </c>
      <c r="AL25" s="22">
        <v>1</v>
      </c>
      <c r="AM25" s="22">
        <v>1</v>
      </c>
      <c r="AN25" s="22">
        <v>1</v>
      </c>
      <c r="AO25" s="22">
        <v>1</v>
      </c>
      <c r="AP25" s="22">
        <v>1</v>
      </c>
      <c r="AQ25" s="22">
        <v>1</v>
      </c>
      <c r="AR25" s="12">
        <v>1</v>
      </c>
      <c r="AS25" s="11">
        <v>1</v>
      </c>
      <c r="AT25" s="22">
        <v>1</v>
      </c>
      <c r="AU25" s="22">
        <v>1</v>
      </c>
      <c r="AV25" s="22">
        <v>1</v>
      </c>
      <c r="AW25" s="22">
        <v>1</v>
      </c>
      <c r="AX25" s="22">
        <v>1</v>
      </c>
      <c r="AY25" s="22">
        <v>1</v>
      </c>
      <c r="AZ25" s="12">
        <v>1</v>
      </c>
      <c r="BA25" s="11">
        <v>1</v>
      </c>
      <c r="BB25" s="22">
        <v>1</v>
      </c>
      <c r="BC25" s="22">
        <v>1</v>
      </c>
      <c r="BD25" s="22">
        <v>1</v>
      </c>
      <c r="BE25" s="22">
        <v>1</v>
      </c>
      <c r="BF25" s="22">
        <v>2</v>
      </c>
      <c r="BG25" s="22">
        <v>1</v>
      </c>
      <c r="BH25" s="12">
        <v>1</v>
      </c>
      <c r="BI25" s="76">
        <v>80</v>
      </c>
      <c r="BJ25" s="76" t="s">
        <v>52</v>
      </c>
      <c r="BK25" s="38">
        <v>2</v>
      </c>
      <c r="BL25" s="35">
        <v>3</v>
      </c>
      <c r="BM25" s="13">
        <v>1</v>
      </c>
      <c r="BN25" s="79">
        <v>21</v>
      </c>
      <c r="BO25" s="81">
        <v>0</v>
      </c>
      <c r="BP25" s="13">
        <v>1</v>
      </c>
      <c r="BQ25" s="29"/>
      <c r="BR25" s="29"/>
      <c r="BS25" s="29" t="s">
        <v>76</v>
      </c>
    </row>
    <row r="26" spans="1:71" x14ac:dyDescent="0.35">
      <c r="A26" s="43" t="s">
        <v>92</v>
      </c>
      <c r="B26" s="12">
        <v>0</v>
      </c>
      <c r="D26" s="33" t="s">
        <v>88</v>
      </c>
      <c r="E26" s="11">
        <v>1</v>
      </c>
      <c r="F26" s="22">
        <v>1</v>
      </c>
      <c r="G26" s="22">
        <v>1</v>
      </c>
      <c r="H26" s="22">
        <v>1</v>
      </c>
      <c r="I26" s="22">
        <v>1</v>
      </c>
      <c r="J26" s="22">
        <v>1</v>
      </c>
      <c r="K26" s="22">
        <v>1</v>
      </c>
      <c r="L26" s="12">
        <v>1</v>
      </c>
      <c r="M26" s="11">
        <v>1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12">
        <v>0</v>
      </c>
      <c r="U26" s="11">
        <v>0</v>
      </c>
      <c r="V26" s="22">
        <v>1</v>
      </c>
      <c r="W26" s="22">
        <v>1</v>
      </c>
      <c r="X26" s="22">
        <v>1</v>
      </c>
      <c r="Y26" s="22">
        <v>0</v>
      </c>
      <c r="Z26" s="22">
        <v>0</v>
      </c>
      <c r="AA26" s="22">
        <v>1</v>
      </c>
      <c r="AB26" s="12">
        <v>1</v>
      </c>
      <c r="AC26" s="11">
        <v>1</v>
      </c>
      <c r="AD26" s="22">
        <v>1</v>
      </c>
      <c r="AE26" s="22">
        <v>1</v>
      </c>
      <c r="AF26" s="22">
        <v>1</v>
      </c>
      <c r="AG26" s="22">
        <v>1</v>
      </c>
      <c r="AH26" s="22">
        <v>1</v>
      </c>
      <c r="AI26" s="22">
        <v>1</v>
      </c>
      <c r="AJ26" s="12">
        <v>1</v>
      </c>
      <c r="AK26" s="11">
        <v>1</v>
      </c>
      <c r="AL26" s="22">
        <v>0</v>
      </c>
      <c r="AM26" s="22">
        <v>1</v>
      </c>
      <c r="AN26" s="22">
        <v>1</v>
      </c>
      <c r="AO26" s="22">
        <v>1</v>
      </c>
      <c r="AP26" s="22">
        <v>1</v>
      </c>
      <c r="AQ26" s="22">
        <v>1</v>
      </c>
      <c r="AR26" s="12">
        <v>1</v>
      </c>
      <c r="AS26" s="11">
        <v>1</v>
      </c>
      <c r="AT26" s="22">
        <v>1</v>
      </c>
      <c r="AU26" s="22">
        <v>1</v>
      </c>
      <c r="AV26" s="22">
        <v>1</v>
      </c>
      <c r="AW26" s="22">
        <v>1</v>
      </c>
      <c r="AX26" s="22">
        <v>1</v>
      </c>
      <c r="AY26" s="22">
        <v>1</v>
      </c>
      <c r="AZ26" s="12">
        <v>1</v>
      </c>
      <c r="BA26" s="11">
        <v>1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12">
        <v>1</v>
      </c>
      <c r="BI26" s="76">
        <v>200</v>
      </c>
      <c r="BJ26" s="76" t="s">
        <v>52</v>
      </c>
      <c r="BK26" s="38">
        <v>3</v>
      </c>
      <c r="BL26" s="35">
        <v>2</v>
      </c>
      <c r="BM26" s="13">
        <v>0</v>
      </c>
      <c r="BN26" s="79">
        <v>22</v>
      </c>
      <c r="BO26" s="81">
        <v>0</v>
      </c>
      <c r="BP26" s="13">
        <v>1</v>
      </c>
      <c r="BQ26" s="29"/>
      <c r="BR26" s="29"/>
      <c r="BS26" s="29" t="s">
        <v>76</v>
      </c>
    </row>
    <row r="27" spans="1:71" ht="15" thickBot="1" x14ac:dyDescent="0.4">
      <c r="A27" s="43" t="s">
        <v>93</v>
      </c>
      <c r="B27" s="12">
        <v>1</v>
      </c>
      <c r="D27" s="8" t="s">
        <v>90</v>
      </c>
      <c r="E27" s="14">
        <v>1</v>
      </c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1</v>
      </c>
      <c r="L27" s="16">
        <v>1</v>
      </c>
      <c r="M27" s="14">
        <v>1</v>
      </c>
      <c r="N27" s="15">
        <v>1</v>
      </c>
      <c r="O27" s="15">
        <v>1</v>
      </c>
      <c r="P27" s="15">
        <v>0</v>
      </c>
      <c r="Q27" s="15">
        <v>0</v>
      </c>
      <c r="R27" s="15">
        <v>1</v>
      </c>
      <c r="S27" s="15">
        <v>0</v>
      </c>
      <c r="T27" s="16">
        <v>0</v>
      </c>
      <c r="U27" s="14">
        <v>0</v>
      </c>
      <c r="V27" s="15">
        <v>0</v>
      </c>
      <c r="W27" s="15">
        <v>1</v>
      </c>
      <c r="X27" s="15">
        <v>1</v>
      </c>
      <c r="Y27" s="15">
        <v>0</v>
      </c>
      <c r="Z27" s="15">
        <v>1</v>
      </c>
      <c r="AA27" s="15">
        <v>0</v>
      </c>
      <c r="AB27" s="16">
        <v>0</v>
      </c>
      <c r="AC27" s="14">
        <v>1</v>
      </c>
      <c r="AD27" s="15">
        <v>1</v>
      </c>
      <c r="AE27" s="15">
        <v>0</v>
      </c>
      <c r="AF27" s="15">
        <v>1</v>
      </c>
      <c r="AG27" s="15">
        <v>1</v>
      </c>
      <c r="AH27" s="15">
        <v>1</v>
      </c>
      <c r="AI27" s="15">
        <v>1</v>
      </c>
      <c r="AJ27" s="16">
        <v>1</v>
      </c>
      <c r="AK27" s="14">
        <v>0</v>
      </c>
      <c r="AL27" s="15">
        <v>1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6">
        <v>0</v>
      </c>
      <c r="AS27" s="14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6">
        <v>0</v>
      </c>
      <c r="BA27" s="14">
        <v>1</v>
      </c>
      <c r="BB27" s="15">
        <v>0</v>
      </c>
      <c r="BC27" s="15">
        <v>1</v>
      </c>
      <c r="BD27" s="15">
        <v>1</v>
      </c>
      <c r="BE27" s="15">
        <v>1</v>
      </c>
      <c r="BF27" s="15">
        <v>1</v>
      </c>
      <c r="BG27" s="15">
        <v>1</v>
      </c>
      <c r="BH27" s="16">
        <v>1</v>
      </c>
      <c r="BI27" s="77">
        <v>160</v>
      </c>
      <c r="BJ27" s="77" t="s">
        <v>52</v>
      </c>
      <c r="BK27" s="39">
        <v>3</v>
      </c>
      <c r="BL27" s="36">
        <v>4</v>
      </c>
      <c r="BM27" s="17">
        <v>1</v>
      </c>
      <c r="BN27" s="82">
        <v>16</v>
      </c>
      <c r="BO27" s="83">
        <v>0</v>
      </c>
      <c r="BP27" s="17">
        <v>1</v>
      </c>
      <c r="BQ27" s="30"/>
      <c r="BR27" s="30"/>
      <c r="BS27" s="30" t="s">
        <v>91</v>
      </c>
    </row>
    <row r="28" spans="1:71" ht="15" thickBot="1" x14ac:dyDescent="0.4">
      <c r="A28" s="45" t="s">
        <v>94</v>
      </c>
      <c r="B28" s="16">
        <v>2</v>
      </c>
    </row>
    <row r="29" spans="1:71" ht="15" thickBot="1" x14ac:dyDescent="0.4">
      <c r="A29" s="49" t="s">
        <v>1</v>
      </c>
      <c r="B29" s="48" t="s">
        <v>99</v>
      </c>
    </row>
    <row r="30" spans="1:71" x14ac:dyDescent="0.35">
      <c r="A30" s="43" t="s">
        <v>28</v>
      </c>
      <c r="B30" s="12">
        <v>0</v>
      </c>
    </row>
    <row r="31" spans="1:71" x14ac:dyDescent="0.35">
      <c r="A31" s="43" t="s">
        <v>29</v>
      </c>
      <c r="B31" s="12">
        <v>1</v>
      </c>
    </row>
    <row r="32" spans="1:71" x14ac:dyDescent="0.35">
      <c r="A32" s="43" t="s">
        <v>30</v>
      </c>
      <c r="B32" s="12">
        <v>2</v>
      </c>
    </row>
    <row r="33" spans="1:2" x14ac:dyDescent="0.35">
      <c r="A33" s="43" t="s">
        <v>31</v>
      </c>
      <c r="B33" s="12">
        <v>3</v>
      </c>
    </row>
    <row r="34" spans="1:2" ht="15" thickBot="1" x14ac:dyDescent="0.4">
      <c r="A34" s="45" t="s">
        <v>32</v>
      </c>
      <c r="B34" s="16">
        <v>4</v>
      </c>
    </row>
    <row r="35" spans="1:2" ht="15" thickBot="1" x14ac:dyDescent="0.4">
      <c r="A35" s="49" t="s">
        <v>38</v>
      </c>
      <c r="B35" s="48" t="s">
        <v>99</v>
      </c>
    </row>
    <row r="36" spans="1:2" x14ac:dyDescent="0.35">
      <c r="A36" s="43" t="s">
        <v>95</v>
      </c>
      <c r="B36" s="12">
        <v>0</v>
      </c>
    </row>
    <row r="37" spans="1:2" x14ac:dyDescent="0.35">
      <c r="A37" s="43" t="s">
        <v>96</v>
      </c>
      <c r="B37" s="12">
        <v>1</v>
      </c>
    </row>
    <row r="38" spans="1:2" x14ac:dyDescent="0.35">
      <c r="A38" s="43" t="s">
        <v>97</v>
      </c>
      <c r="B38" s="12">
        <v>2</v>
      </c>
    </row>
    <row r="39" spans="1:2" ht="15" thickBot="1" x14ac:dyDescent="0.4">
      <c r="A39" s="45" t="s">
        <v>98</v>
      </c>
      <c r="B39" s="16">
        <v>3</v>
      </c>
    </row>
  </sheetData>
  <mergeCells count="22">
    <mergeCell ref="BR1:BR3"/>
    <mergeCell ref="BS1:BS3"/>
    <mergeCell ref="BM1:BM3"/>
    <mergeCell ref="BN1:BN3"/>
    <mergeCell ref="BO1:BO3"/>
    <mergeCell ref="BP1:BP3"/>
    <mergeCell ref="BQ1:BQ3"/>
    <mergeCell ref="BI1:BJ2"/>
    <mergeCell ref="BK1:BL2"/>
    <mergeCell ref="AS1:AZ1"/>
    <mergeCell ref="AS2:AZ2"/>
    <mergeCell ref="BA1:BH1"/>
    <mergeCell ref="BA2:BH2"/>
    <mergeCell ref="AC2:AJ2"/>
    <mergeCell ref="AK2:AR2"/>
    <mergeCell ref="E1:T1"/>
    <mergeCell ref="AK1:AR1"/>
    <mergeCell ref="M2:T2"/>
    <mergeCell ref="U1:AJ1"/>
    <mergeCell ref="U2:AB2"/>
    <mergeCell ref="E2:L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</vt:lpstr>
      <vt:lpstr>FUN</vt:lpstr>
      <vt:lpstr>CR vs FUN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Paul Remache Vinueza</dc:creator>
  <cp:lastModifiedBy>Byron Paul Remache Vinueza</cp:lastModifiedBy>
  <dcterms:created xsi:type="dcterms:W3CDTF">2023-09-05T07:55:34Z</dcterms:created>
  <dcterms:modified xsi:type="dcterms:W3CDTF">2023-09-05T10:33:06Z</dcterms:modified>
</cp:coreProperties>
</file>